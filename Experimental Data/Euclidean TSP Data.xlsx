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IT-U BSCS\CIT-U 3rd Year 2023-2024\OJT\ExperimentalData\"/>
    </mc:Choice>
  </mc:AlternateContent>
  <xr:revisionPtr revIDLastSave="0" documentId="13_ncr:1_{75C7129D-E59E-4550-A603-F3A1A47D7F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yExperimentNumber" sheetId="1" r:id="rId1"/>
    <sheet name="ByNumberOfVerti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0" i="3" l="1"/>
  <c r="M128" i="3"/>
  <c r="AH126" i="3"/>
  <c r="M126" i="3"/>
  <c r="D126" i="3"/>
  <c r="BC120" i="3"/>
  <c r="AZ120" i="3"/>
  <c r="BA120" i="3" s="1"/>
  <c r="AY120" i="3"/>
  <c r="AW120" i="3"/>
  <c r="AU120" i="3"/>
  <c r="AR120" i="3"/>
  <c r="AP120" i="3"/>
  <c r="AM120" i="3"/>
  <c r="AK120" i="3"/>
  <c r="AG120" i="3"/>
  <c r="AC120" i="3"/>
  <c r="Y120" i="3"/>
  <c r="Z120" i="3" s="1"/>
  <c r="X120" i="3"/>
  <c r="V120" i="3"/>
  <c r="T120" i="3"/>
  <c r="Q120" i="3"/>
  <c r="O120" i="3"/>
  <c r="I120" i="3"/>
  <c r="E120" i="3"/>
  <c r="BC118" i="3"/>
  <c r="AZ118" i="3"/>
  <c r="BA118" i="3" s="1"/>
  <c r="AY118" i="3"/>
  <c r="AW118" i="3"/>
  <c r="AU118" i="3"/>
  <c r="AR118" i="3"/>
  <c r="AP118" i="3"/>
  <c r="AM118" i="3"/>
  <c r="AK118" i="3"/>
  <c r="AG118" i="3"/>
  <c r="AC118" i="3"/>
  <c r="Z118" i="3"/>
  <c r="Y118" i="3"/>
  <c r="X118" i="3"/>
  <c r="V118" i="3"/>
  <c r="T118" i="3"/>
  <c r="Q118" i="3"/>
  <c r="O118" i="3"/>
  <c r="I118" i="3"/>
  <c r="E118" i="3"/>
  <c r="BC116" i="3"/>
  <c r="AZ116" i="3"/>
  <c r="BA116" i="3" s="1"/>
  <c r="AY116" i="3"/>
  <c r="AW116" i="3"/>
  <c r="AU116" i="3"/>
  <c r="AR116" i="3"/>
  <c r="AP116" i="3"/>
  <c r="AM116" i="3"/>
  <c r="AK116" i="3"/>
  <c r="AG116" i="3"/>
  <c r="AC116" i="3"/>
  <c r="Z116" i="3"/>
  <c r="Y116" i="3"/>
  <c r="X116" i="3"/>
  <c r="V116" i="3"/>
  <c r="T116" i="3"/>
  <c r="Q116" i="3"/>
  <c r="O116" i="3"/>
  <c r="I116" i="3"/>
  <c r="E116" i="3"/>
  <c r="BC114" i="3"/>
  <c r="AZ114" i="3"/>
  <c r="BA114" i="3" s="1"/>
  <c r="AY114" i="3"/>
  <c r="AW114" i="3"/>
  <c r="AU114" i="3"/>
  <c r="AR114" i="3"/>
  <c r="AP114" i="3"/>
  <c r="AM114" i="3"/>
  <c r="AK114" i="3"/>
  <c r="AG114" i="3"/>
  <c r="AC114" i="3"/>
  <c r="Y114" i="3"/>
  <c r="Z114" i="3" s="1"/>
  <c r="X114" i="3"/>
  <c r="V114" i="3"/>
  <c r="T114" i="3"/>
  <c r="Q114" i="3"/>
  <c r="O114" i="3"/>
  <c r="I114" i="3"/>
  <c r="E114" i="3"/>
  <c r="BC112" i="3"/>
  <c r="AZ112" i="3"/>
  <c r="BA112" i="3" s="1"/>
  <c r="AY112" i="3"/>
  <c r="AW112" i="3"/>
  <c r="AU112" i="3"/>
  <c r="AR112" i="3"/>
  <c r="AP112" i="3"/>
  <c r="AM112" i="3"/>
  <c r="AK112" i="3"/>
  <c r="AG112" i="3"/>
  <c r="AC112" i="3"/>
  <c r="Z112" i="3"/>
  <c r="Y112" i="3"/>
  <c r="X112" i="3"/>
  <c r="V112" i="3"/>
  <c r="T112" i="3"/>
  <c r="Q112" i="3"/>
  <c r="O112" i="3"/>
  <c r="I112" i="3"/>
  <c r="E112" i="3"/>
  <c r="BC110" i="3"/>
  <c r="BA110" i="3"/>
  <c r="AZ110" i="3"/>
  <c r="AY110" i="3"/>
  <c r="AW110" i="3"/>
  <c r="AU110" i="3"/>
  <c r="AR110" i="3"/>
  <c r="AP110" i="3"/>
  <c r="AM110" i="3"/>
  <c r="AK110" i="3"/>
  <c r="AG110" i="3"/>
  <c r="AC110" i="3"/>
  <c r="Y110" i="3"/>
  <c r="Z110" i="3" s="1"/>
  <c r="X110" i="3"/>
  <c r="V110" i="3"/>
  <c r="T110" i="3"/>
  <c r="Q110" i="3"/>
  <c r="O110" i="3"/>
  <c r="I110" i="3"/>
  <c r="E110" i="3"/>
  <c r="BC108" i="3"/>
  <c r="BA108" i="3"/>
  <c r="AZ108" i="3"/>
  <c r="AY108" i="3"/>
  <c r="AW108" i="3"/>
  <c r="AU108" i="3"/>
  <c r="AR108" i="3"/>
  <c r="AP108" i="3"/>
  <c r="AM108" i="3"/>
  <c r="AK108" i="3"/>
  <c r="AG108" i="3"/>
  <c r="AC108" i="3"/>
  <c r="Y108" i="3"/>
  <c r="Z108" i="3" s="1"/>
  <c r="X108" i="3"/>
  <c r="V108" i="3"/>
  <c r="T108" i="3"/>
  <c r="Q108" i="3"/>
  <c r="O108" i="3"/>
  <c r="I108" i="3"/>
  <c r="E108" i="3"/>
  <c r="BC106" i="3"/>
  <c r="AZ106" i="3"/>
  <c r="BA106" i="3" s="1"/>
  <c r="AY106" i="3"/>
  <c r="AW106" i="3"/>
  <c r="AU106" i="3"/>
  <c r="AR106" i="3"/>
  <c r="AP106" i="3"/>
  <c r="AM106" i="3"/>
  <c r="AK106" i="3"/>
  <c r="AG106" i="3"/>
  <c r="AC106" i="3"/>
  <c r="Y106" i="3"/>
  <c r="Z106" i="3" s="1"/>
  <c r="X106" i="3"/>
  <c r="V106" i="3"/>
  <c r="T106" i="3"/>
  <c r="Q106" i="3"/>
  <c r="O106" i="3"/>
  <c r="I106" i="3"/>
  <c r="E106" i="3"/>
  <c r="BC104" i="3"/>
  <c r="AZ104" i="3"/>
  <c r="BA104" i="3" s="1"/>
  <c r="AY104" i="3"/>
  <c r="AW104" i="3"/>
  <c r="AU104" i="3"/>
  <c r="AR104" i="3"/>
  <c r="AP104" i="3"/>
  <c r="AM104" i="3"/>
  <c r="AK104" i="3"/>
  <c r="AG104" i="3"/>
  <c r="AC104" i="3"/>
  <c r="Y104" i="3"/>
  <c r="Z104" i="3" s="1"/>
  <c r="X104" i="3"/>
  <c r="V104" i="3"/>
  <c r="T104" i="3"/>
  <c r="Q104" i="3"/>
  <c r="O104" i="3"/>
  <c r="I104" i="3"/>
  <c r="E104" i="3"/>
  <c r="BC102" i="3"/>
  <c r="AZ102" i="3"/>
  <c r="BA102" i="3" s="1"/>
  <c r="AY102" i="3"/>
  <c r="AW102" i="3"/>
  <c r="AU102" i="3"/>
  <c r="AR102" i="3"/>
  <c r="AP102" i="3"/>
  <c r="AM102" i="3"/>
  <c r="AK102" i="3"/>
  <c r="AG102" i="3"/>
  <c r="AC102" i="3"/>
  <c r="Z102" i="3"/>
  <c r="Y102" i="3"/>
  <c r="X102" i="3"/>
  <c r="V102" i="3"/>
  <c r="T102" i="3"/>
  <c r="Q102" i="3"/>
  <c r="O102" i="3"/>
  <c r="I102" i="3"/>
  <c r="E102" i="3"/>
  <c r="BC100" i="3"/>
  <c r="BA100" i="3"/>
  <c r="AZ100" i="3"/>
  <c r="AY100" i="3"/>
  <c r="AW100" i="3"/>
  <c r="AU100" i="3"/>
  <c r="AR100" i="3"/>
  <c r="AP100" i="3"/>
  <c r="AM100" i="3"/>
  <c r="AK100" i="3"/>
  <c r="AG100" i="3"/>
  <c r="AC100" i="3"/>
  <c r="Y100" i="3"/>
  <c r="Z100" i="3" s="1"/>
  <c r="X100" i="3"/>
  <c r="V100" i="3"/>
  <c r="T100" i="3"/>
  <c r="Q100" i="3"/>
  <c r="O100" i="3"/>
  <c r="I100" i="3"/>
  <c r="E100" i="3"/>
  <c r="BC98" i="3"/>
  <c r="AZ98" i="3"/>
  <c r="BA98" i="3" s="1"/>
  <c r="AY98" i="3"/>
  <c r="AW98" i="3"/>
  <c r="AU98" i="3"/>
  <c r="AR98" i="3"/>
  <c r="AP98" i="3"/>
  <c r="AM98" i="3"/>
  <c r="AK98" i="3"/>
  <c r="AG98" i="3"/>
  <c r="AC98" i="3"/>
  <c r="Z98" i="3"/>
  <c r="Y98" i="3"/>
  <c r="X98" i="3"/>
  <c r="V98" i="3"/>
  <c r="T98" i="3"/>
  <c r="Q98" i="3"/>
  <c r="O98" i="3"/>
  <c r="I98" i="3"/>
  <c r="E98" i="3"/>
  <c r="BC96" i="3"/>
  <c r="AZ96" i="3"/>
  <c r="BA96" i="3" s="1"/>
  <c r="AY96" i="3"/>
  <c r="AW96" i="3"/>
  <c r="AU96" i="3"/>
  <c r="AR96" i="3"/>
  <c r="AP96" i="3"/>
  <c r="AM96" i="3"/>
  <c r="AK96" i="3"/>
  <c r="AG96" i="3"/>
  <c r="AC96" i="3"/>
  <c r="Z96" i="3"/>
  <c r="Y96" i="3"/>
  <c r="X96" i="3"/>
  <c r="V96" i="3"/>
  <c r="T96" i="3"/>
  <c r="Q96" i="3"/>
  <c r="O96" i="3"/>
  <c r="I96" i="3"/>
  <c r="E96" i="3"/>
  <c r="BC94" i="3"/>
  <c r="BA94" i="3"/>
  <c r="AZ94" i="3"/>
  <c r="AY94" i="3"/>
  <c r="AW94" i="3"/>
  <c r="AU94" i="3"/>
  <c r="AR94" i="3"/>
  <c r="AP94" i="3"/>
  <c r="AM94" i="3"/>
  <c r="AK94" i="3"/>
  <c r="AG94" i="3"/>
  <c r="AC94" i="3"/>
  <c r="Y94" i="3"/>
  <c r="Z94" i="3" s="1"/>
  <c r="X94" i="3"/>
  <c r="V94" i="3"/>
  <c r="T94" i="3"/>
  <c r="Q94" i="3"/>
  <c r="O94" i="3"/>
  <c r="I94" i="3"/>
  <c r="E94" i="3"/>
  <c r="BC92" i="3"/>
  <c r="AZ92" i="3"/>
  <c r="BA92" i="3" s="1"/>
  <c r="AY92" i="3"/>
  <c r="AW92" i="3"/>
  <c r="AU92" i="3"/>
  <c r="AR92" i="3"/>
  <c r="AP92" i="3"/>
  <c r="AM92" i="3"/>
  <c r="AK92" i="3"/>
  <c r="AG92" i="3"/>
  <c r="AC92" i="3"/>
  <c r="Y92" i="3"/>
  <c r="Z92" i="3" s="1"/>
  <c r="X92" i="3"/>
  <c r="V92" i="3"/>
  <c r="T92" i="3"/>
  <c r="Q92" i="3"/>
  <c r="O92" i="3"/>
  <c r="I92" i="3"/>
  <c r="E92" i="3"/>
  <c r="BC90" i="3"/>
  <c r="AZ90" i="3"/>
  <c r="BA90" i="3" s="1"/>
  <c r="AY90" i="3"/>
  <c r="AW90" i="3"/>
  <c r="AU90" i="3"/>
  <c r="AR90" i="3"/>
  <c r="AP90" i="3"/>
  <c r="AM90" i="3"/>
  <c r="AK90" i="3"/>
  <c r="AG90" i="3"/>
  <c r="AC90" i="3"/>
  <c r="Y90" i="3"/>
  <c r="Z90" i="3" s="1"/>
  <c r="X90" i="3"/>
  <c r="V90" i="3"/>
  <c r="T90" i="3"/>
  <c r="Q90" i="3"/>
  <c r="O90" i="3"/>
  <c r="I90" i="3"/>
  <c r="E90" i="3"/>
  <c r="BC88" i="3"/>
  <c r="AZ88" i="3"/>
  <c r="BA88" i="3" s="1"/>
  <c r="AY88" i="3"/>
  <c r="AW88" i="3"/>
  <c r="AU88" i="3"/>
  <c r="AR88" i="3"/>
  <c r="AP88" i="3"/>
  <c r="AM88" i="3"/>
  <c r="AK88" i="3"/>
  <c r="AG88" i="3"/>
  <c r="AC88" i="3"/>
  <c r="Y88" i="3"/>
  <c r="Z88" i="3" s="1"/>
  <c r="X88" i="3"/>
  <c r="V88" i="3"/>
  <c r="T88" i="3"/>
  <c r="Q88" i="3"/>
  <c r="O88" i="3"/>
  <c r="I88" i="3"/>
  <c r="E88" i="3"/>
  <c r="BC86" i="3"/>
  <c r="BA86" i="3"/>
  <c r="AZ86" i="3"/>
  <c r="AY86" i="3"/>
  <c r="AW86" i="3"/>
  <c r="AU86" i="3"/>
  <c r="AR86" i="3"/>
  <c r="AP86" i="3"/>
  <c r="AM86" i="3"/>
  <c r="AK86" i="3"/>
  <c r="AG86" i="3"/>
  <c r="AC86" i="3"/>
  <c r="Y86" i="3"/>
  <c r="Z86" i="3" s="1"/>
  <c r="X86" i="3"/>
  <c r="V86" i="3"/>
  <c r="T86" i="3"/>
  <c r="Q86" i="3"/>
  <c r="O86" i="3"/>
  <c r="I86" i="3"/>
  <c r="E86" i="3"/>
  <c r="BC84" i="3"/>
  <c r="BA84" i="3"/>
  <c r="AZ84" i="3"/>
  <c r="AY84" i="3"/>
  <c r="AW84" i="3"/>
  <c r="AU84" i="3"/>
  <c r="AR84" i="3"/>
  <c r="AP84" i="3"/>
  <c r="AM84" i="3"/>
  <c r="AK84" i="3"/>
  <c r="AG84" i="3"/>
  <c r="AC84" i="3"/>
  <c r="Z84" i="3"/>
  <c r="Y84" i="3"/>
  <c r="X84" i="3"/>
  <c r="V84" i="3"/>
  <c r="T84" i="3"/>
  <c r="Q84" i="3"/>
  <c r="O84" i="3"/>
  <c r="I84" i="3"/>
  <c r="E84" i="3"/>
  <c r="BC82" i="3"/>
  <c r="AZ82" i="3"/>
  <c r="BA82" i="3" s="1"/>
  <c r="AY82" i="3"/>
  <c r="AW82" i="3"/>
  <c r="AU82" i="3"/>
  <c r="AR82" i="3"/>
  <c r="AP82" i="3"/>
  <c r="AM82" i="3"/>
  <c r="AK82" i="3"/>
  <c r="AG82" i="3"/>
  <c r="AC82" i="3"/>
  <c r="Z82" i="3"/>
  <c r="Y82" i="3"/>
  <c r="X82" i="3"/>
  <c r="V82" i="3"/>
  <c r="T82" i="3"/>
  <c r="Q82" i="3"/>
  <c r="O82" i="3"/>
  <c r="I82" i="3"/>
  <c r="E82" i="3"/>
  <c r="BC80" i="3"/>
  <c r="AZ80" i="3"/>
  <c r="BA80" i="3" s="1"/>
  <c r="AY80" i="3"/>
  <c r="AW80" i="3"/>
  <c r="AU80" i="3"/>
  <c r="AR80" i="3"/>
  <c r="AP80" i="3"/>
  <c r="AM80" i="3"/>
  <c r="AK80" i="3"/>
  <c r="AG80" i="3"/>
  <c r="AC80" i="3"/>
  <c r="Z80" i="3"/>
  <c r="Y80" i="3"/>
  <c r="X80" i="3"/>
  <c r="V80" i="3"/>
  <c r="T80" i="3"/>
  <c r="Q80" i="3"/>
  <c r="O80" i="3"/>
  <c r="I80" i="3"/>
  <c r="E80" i="3"/>
  <c r="BC78" i="3"/>
  <c r="AZ78" i="3"/>
  <c r="BA78" i="3" s="1"/>
  <c r="AY78" i="3"/>
  <c r="AW78" i="3"/>
  <c r="AU78" i="3"/>
  <c r="AR78" i="3"/>
  <c r="AP78" i="3"/>
  <c r="AM78" i="3"/>
  <c r="AK78" i="3"/>
  <c r="AG78" i="3"/>
  <c r="AC78" i="3"/>
  <c r="Y78" i="3"/>
  <c r="Z78" i="3" s="1"/>
  <c r="X78" i="3"/>
  <c r="V78" i="3"/>
  <c r="T78" i="3"/>
  <c r="Q78" i="3"/>
  <c r="O78" i="3"/>
  <c r="I78" i="3"/>
  <c r="E78" i="3"/>
  <c r="BC76" i="3"/>
  <c r="BA76" i="3"/>
  <c r="AZ76" i="3"/>
  <c r="AY76" i="3"/>
  <c r="AW76" i="3"/>
  <c r="AU76" i="3"/>
  <c r="AR76" i="3"/>
  <c r="AP76" i="3"/>
  <c r="AM76" i="3"/>
  <c r="AK76" i="3"/>
  <c r="AG76" i="3"/>
  <c r="AC76" i="3"/>
  <c r="Y76" i="3"/>
  <c r="Z76" i="3" s="1"/>
  <c r="X76" i="3"/>
  <c r="V76" i="3"/>
  <c r="T76" i="3"/>
  <c r="Q76" i="3"/>
  <c r="O76" i="3"/>
  <c r="I76" i="3"/>
  <c r="E76" i="3"/>
  <c r="BC74" i="3"/>
  <c r="AZ74" i="3"/>
  <c r="BA74" i="3" s="1"/>
  <c r="AY74" i="3"/>
  <c r="AW74" i="3"/>
  <c r="AU74" i="3"/>
  <c r="AR74" i="3"/>
  <c r="AP74" i="3"/>
  <c r="AM74" i="3"/>
  <c r="AK74" i="3"/>
  <c r="AG74" i="3"/>
  <c r="AC74" i="3"/>
  <c r="Y74" i="3"/>
  <c r="Z74" i="3" s="1"/>
  <c r="X74" i="3"/>
  <c r="V74" i="3"/>
  <c r="T74" i="3"/>
  <c r="Q74" i="3"/>
  <c r="O74" i="3"/>
  <c r="I74" i="3"/>
  <c r="E74" i="3"/>
  <c r="BC72" i="3"/>
  <c r="BA72" i="3"/>
  <c r="AZ72" i="3"/>
  <c r="AY72" i="3"/>
  <c r="AW72" i="3"/>
  <c r="AU72" i="3"/>
  <c r="AR72" i="3"/>
  <c r="AP72" i="3"/>
  <c r="AM72" i="3"/>
  <c r="AK72" i="3"/>
  <c r="AG72" i="3"/>
  <c r="AC72" i="3"/>
  <c r="Y72" i="3"/>
  <c r="Z72" i="3" s="1"/>
  <c r="X72" i="3"/>
  <c r="V72" i="3"/>
  <c r="T72" i="3"/>
  <c r="Q72" i="3"/>
  <c r="O72" i="3"/>
  <c r="I72" i="3"/>
  <c r="E72" i="3"/>
  <c r="BC70" i="3"/>
  <c r="AZ70" i="3"/>
  <c r="BA70" i="3" s="1"/>
  <c r="AY70" i="3"/>
  <c r="AW70" i="3"/>
  <c r="AU70" i="3"/>
  <c r="AR70" i="3"/>
  <c r="AP70" i="3"/>
  <c r="AM70" i="3"/>
  <c r="AK70" i="3"/>
  <c r="AG70" i="3"/>
  <c r="AC70" i="3"/>
  <c r="Z70" i="3"/>
  <c r="Y70" i="3"/>
  <c r="X70" i="3"/>
  <c r="V70" i="3"/>
  <c r="T70" i="3"/>
  <c r="Q70" i="3"/>
  <c r="O70" i="3"/>
  <c r="I70" i="3"/>
  <c r="E70" i="3"/>
  <c r="BC68" i="3"/>
  <c r="BA68" i="3"/>
  <c r="AZ68" i="3"/>
  <c r="AY68" i="3"/>
  <c r="AW68" i="3"/>
  <c r="AU68" i="3"/>
  <c r="AR68" i="3"/>
  <c r="AP68" i="3"/>
  <c r="AM68" i="3"/>
  <c r="AK68" i="3"/>
  <c r="AG68" i="3"/>
  <c r="AC68" i="3"/>
  <c r="Y68" i="3"/>
  <c r="Z68" i="3" s="1"/>
  <c r="X68" i="3"/>
  <c r="V68" i="3"/>
  <c r="T68" i="3"/>
  <c r="Q68" i="3"/>
  <c r="O68" i="3"/>
  <c r="I68" i="3"/>
  <c r="E68" i="3"/>
  <c r="BC66" i="3"/>
  <c r="AZ66" i="3"/>
  <c r="BA66" i="3" s="1"/>
  <c r="AY66" i="3"/>
  <c r="AW66" i="3"/>
  <c r="AU66" i="3"/>
  <c r="AR66" i="3"/>
  <c r="AP66" i="3"/>
  <c r="AM66" i="3"/>
  <c r="AK66" i="3"/>
  <c r="AG66" i="3"/>
  <c r="AC66" i="3"/>
  <c r="Z66" i="3"/>
  <c r="Y66" i="3"/>
  <c r="X66" i="3"/>
  <c r="V66" i="3"/>
  <c r="T66" i="3"/>
  <c r="Q66" i="3"/>
  <c r="O66" i="3"/>
  <c r="I66" i="3"/>
  <c r="E66" i="3"/>
  <c r="BC64" i="3"/>
  <c r="AZ64" i="3"/>
  <c r="BA64" i="3" s="1"/>
  <c r="AY64" i="3"/>
  <c r="AW64" i="3"/>
  <c r="AU64" i="3"/>
  <c r="AR64" i="3"/>
  <c r="AP64" i="3"/>
  <c r="AM64" i="3"/>
  <c r="AK64" i="3"/>
  <c r="AG64" i="3"/>
  <c r="AC64" i="3"/>
  <c r="Z64" i="3"/>
  <c r="Y64" i="3"/>
  <c r="X64" i="3"/>
  <c r="V64" i="3"/>
  <c r="T64" i="3"/>
  <c r="Q64" i="3"/>
  <c r="O64" i="3"/>
  <c r="I64" i="3"/>
  <c r="E64" i="3"/>
  <c r="BC62" i="3"/>
  <c r="BA62" i="3"/>
  <c r="AZ62" i="3"/>
  <c r="AY62" i="3"/>
  <c r="AW62" i="3"/>
  <c r="AU62" i="3"/>
  <c r="AR62" i="3"/>
  <c r="AP62" i="3"/>
  <c r="AM62" i="3"/>
  <c r="AK62" i="3"/>
  <c r="AG62" i="3"/>
  <c r="AC62" i="3"/>
  <c r="Y62" i="3"/>
  <c r="Z62" i="3" s="1"/>
  <c r="X62" i="3"/>
  <c r="V62" i="3"/>
  <c r="T62" i="3"/>
  <c r="Q62" i="3"/>
  <c r="O62" i="3"/>
  <c r="I62" i="3"/>
  <c r="E62" i="3"/>
  <c r="BC60" i="3"/>
  <c r="AZ60" i="3"/>
  <c r="BA60" i="3" s="1"/>
  <c r="AY60" i="3"/>
  <c r="AW60" i="3"/>
  <c r="AU60" i="3"/>
  <c r="AR60" i="3"/>
  <c r="AP60" i="3"/>
  <c r="AM60" i="3"/>
  <c r="AK60" i="3"/>
  <c r="AG60" i="3"/>
  <c r="AC60" i="3"/>
  <c r="Y60" i="3"/>
  <c r="Z60" i="3" s="1"/>
  <c r="X60" i="3"/>
  <c r="V60" i="3"/>
  <c r="T60" i="3"/>
  <c r="Q60" i="3"/>
  <c r="O60" i="3"/>
  <c r="I60" i="3"/>
  <c r="E60" i="3"/>
  <c r="BC58" i="3"/>
  <c r="BA58" i="3"/>
  <c r="AZ58" i="3"/>
  <c r="AY58" i="3"/>
  <c r="AW58" i="3"/>
  <c r="AU58" i="3"/>
  <c r="AR58" i="3"/>
  <c r="AP58" i="3"/>
  <c r="AM58" i="3"/>
  <c r="AK58" i="3"/>
  <c r="AG58" i="3"/>
  <c r="AC58" i="3"/>
  <c r="Y58" i="3"/>
  <c r="Z58" i="3" s="1"/>
  <c r="X58" i="3"/>
  <c r="V58" i="3"/>
  <c r="T58" i="3"/>
  <c r="Q58" i="3"/>
  <c r="O58" i="3"/>
  <c r="I58" i="3"/>
  <c r="E58" i="3"/>
  <c r="BC56" i="3"/>
  <c r="BA56" i="3"/>
  <c r="AZ56" i="3"/>
  <c r="AY56" i="3"/>
  <c r="AW56" i="3"/>
  <c r="AU56" i="3"/>
  <c r="AR56" i="3"/>
  <c r="AP56" i="3"/>
  <c r="AM56" i="3"/>
  <c r="AK56" i="3"/>
  <c r="AG56" i="3"/>
  <c r="AC56" i="3"/>
  <c r="Y56" i="3"/>
  <c r="Z56" i="3" s="1"/>
  <c r="X56" i="3"/>
  <c r="V56" i="3"/>
  <c r="T56" i="3"/>
  <c r="Q56" i="3"/>
  <c r="O56" i="3"/>
  <c r="I56" i="3"/>
  <c r="E56" i="3"/>
  <c r="BC54" i="3"/>
  <c r="BA54" i="3"/>
  <c r="AZ54" i="3"/>
  <c r="AY54" i="3"/>
  <c r="AW54" i="3"/>
  <c r="AU54" i="3"/>
  <c r="AR54" i="3"/>
  <c r="AP54" i="3"/>
  <c r="AM54" i="3"/>
  <c r="AK54" i="3"/>
  <c r="AG54" i="3"/>
  <c r="AC54" i="3"/>
  <c r="Y54" i="3"/>
  <c r="Z54" i="3" s="1"/>
  <c r="X54" i="3"/>
  <c r="V54" i="3"/>
  <c r="T54" i="3"/>
  <c r="Q54" i="3"/>
  <c r="O54" i="3"/>
  <c r="I54" i="3"/>
  <c r="E54" i="3"/>
  <c r="BC52" i="3"/>
  <c r="AZ52" i="3"/>
  <c r="BA52" i="3" s="1"/>
  <c r="AY52" i="3"/>
  <c r="AW52" i="3"/>
  <c r="AU52" i="3"/>
  <c r="AR52" i="3"/>
  <c r="AP52" i="3"/>
  <c r="AM52" i="3"/>
  <c r="AK52" i="3"/>
  <c r="AG52" i="3"/>
  <c r="AC52" i="3"/>
  <c r="Z52" i="3"/>
  <c r="Y52" i="3"/>
  <c r="X52" i="3"/>
  <c r="V52" i="3"/>
  <c r="T52" i="3"/>
  <c r="Q52" i="3"/>
  <c r="O52" i="3"/>
  <c r="I52" i="3"/>
  <c r="E52" i="3"/>
  <c r="BC50" i="3"/>
  <c r="BA50" i="3"/>
  <c r="AZ50" i="3"/>
  <c r="AY50" i="3"/>
  <c r="AW50" i="3"/>
  <c r="AU50" i="3"/>
  <c r="AR50" i="3"/>
  <c r="AP50" i="3"/>
  <c r="AM50" i="3"/>
  <c r="AK50" i="3"/>
  <c r="AG50" i="3"/>
  <c r="AC50" i="3"/>
  <c r="Y50" i="3"/>
  <c r="Z50" i="3" s="1"/>
  <c r="X50" i="3"/>
  <c r="V50" i="3"/>
  <c r="T50" i="3"/>
  <c r="Q50" i="3"/>
  <c r="O50" i="3"/>
  <c r="I50" i="3"/>
  <c r="E50" i="3"/>
  <c r="BC48" i="3"/>
  <c r="AZ48" i="3"/>
  <c r="BA48" i="3" s="1"/>
  <c r="AY48" i="3"/>
  <c r="AW48" i="3"/>
  <c r="AU48" i="3"/>
  <c r="AR48" i="3"/>
  <c r="AP48" i="3"/>
  <c r="AM48" i="3"/>
  <c r="AK48" i="3"/>
  <c r="AG48" i="3"/>
  <c r="AC48" i="3"/>
  <c r="Y48" i="3"/>
  <c r="Z48" i="3" s="1"/>
  <c r="X48" i="3"/>
  <c r="V48" i="3"/>
  <c r="T48" i="3"/>
  <c r="Q48" i="3"/>
  <c r="O48" i="3"/>
  <c r="I48" i="3"/>
  <c r="E48" i="3"/>
  <c r="BC46" i="3"/>
  <c r="AZ46" i="3"/>
  <c r="BA46" i="3" s="1"/>
  <c r="AY46" i="3"/>
  <c r="AW46" i="3"/>
  <c r="AU46" i="3"/>
  <c r="AR46" i="3"/>
  <c r="AP46" i="3"/>
  <c r="AM46" i="3"/>
  <c r="AK46" i="3"/>
  <c r="AG46" i="3"/>
  <c r="AC46" i="3"/>
  <c r="Y46" i="3"/>
  <c r="Z46" i="3" s="1"/>
  <c r="X46" i="3"/>
  <c r="V46" i="3"/>
  <c r="T46" i="3"/>
  <c r="Q46" i="3"/>
  <c r="O46" i="3"/>
  <c r="I46" i="3"/>
  <c r="E46" i="3"/>
  <c r="BC44" i="3"/>
  <c r="BA44" i="3"/>
  <c r="AZ44" i="3"/>
  <c r="AY44" i="3"/>
  <c r="AW44" i="3"/>
  <c r="AU44" i="3"/>
  <c r="AR44" i="3"/>
  <c r="AP44" i="3"/>
  <c r="AM44" i="3"/>
  <c r="AK44" i="3"/>
  <c r="AG44" i="3"/>
  <c r="AC44" i="3"/>
  <c r="Y44" i="3"/>
  <c r="Z44" i="3" s="1"/>
  <c r="X44" i="3"/>
  <c r="V44" i="3"/>
  <c r="T44" i="3"/>
  <c r="Q44" i="3"/>
  <c r="O44" i="3"/>
  <c r="I44" i="3"/>
  <c r="E44" i="3"/>
  <c r="BC42" i="3"/>
  <c r="AZ42" i="3"/>
  <c r="BA42" i="3" s="1"/>
  <c r="AY42" i="3"/>
  <c r="AW42" i="3"/>
  <c r="AU42" i="3"/>
  <c r="AR42" i="3"/>
  <c r="AP42" i="3"/>
  <c r="AM42" i="3"/>
  <c r="AK42" i="3"/>
  <c r="AG42" i="3"/>
  <c r="AC42" i="3"/>
  <c r="Z42" i="3"/>
  <c r="Y42" i="3"/>
  <c r="X42" i="3"/>
  <c r="V42" i="3"/>
  <c r="T42" i="3"/>
  <c r="Q42" i="3"/>
  <c r="O42" i="3"/>
  <c r="I42" i="3"/>
  <c r="E42" i="3"/>
  <c r="BC40" i="3"/>
  <c r="BA40" i="3"/>
  <c r="AZ40" i="3"/>
  <c r="AY40" i="3"/>
  <c r="AW40" i="3"/>
  <c r="AU40" i="3"/>
  <c r="AR40" i="3"/>
  <c r="AP40" i="3"/>
  <c r="AM40" i="3"/>
  <c r="AK40" i="3"/>
  <c r="AG40" i="3"/>
  <c r="AC40" i="3"/>
  <c r="Y40" i="3"/>
  <c r="Z40" i="3" s="1"/>
  <c r="X40" i="3"/>
  <c r="V40" i="3"/>
  <c r="T40" i="3"/>
  <c r="Q40" i="3"/>
  <c r="O40" i="3"/>
  <c r="I40" i="3"/>
  <c r="E40" i="3"/>
  <c r="BC38" i="3"/>
  <c r="BA38" i="3"/>
  <c r="AZ38" i="3"/>
  <c r="AY38" i="3"/>
  <c r="AW38" i="3"/>
  <c r="AU38" i="3"/>
  <c r="AR38" i="3"/>
  <c r="AP38" i="3"/>
  <c r="AM38" i="3"/>
  <c r="AK38" i="3"/>
  <c r="AG38" i="3"/>
  <c r="AC38" i="3"/>
  <c r="Z38" i="3"/>
  <c r="Y38" i="3"/>
  <c r="X38" i="3"/>
  <c r="V38" i="3"/>
  <c r="T38" i="3"/>
  <c r="Q38" i="3"/>
  <c r="O38" i="3"/>
  <c r="I38" i="3"/>
  <c r="E38" i="3"/>
  <c r="BC36" i="3"/>
  <c r="AZ36" i="3"/>
  <c r="BA36" i="3" s="1"/>
  <c r="AY36" i="3"/>
  <c r="AW36" i="3"/>
  <c r="AU36" i="3"/>
  <c r="AR36" i="3"/>
  <c r="AP36" i="3"/>
  <c r="AM36" i="3"/>
  <c r="AK36" i="3"/>
  <c r="AG36" i="3"/>
  <c r="AC36" i="3"/>
  <c r="Z36" i="3"/>
  <c r="Y36" i="3"/>
  <c r="X36" i="3"/>
  <c r="V36" i="3"/>
  <c r="T36" i="3"/>
  <c r="Q36" i="3"/>
  <c r="O36" i="3"/>
  <c r="I36" i="3"/>
  <c r="E36" i="3"/>
  <c r="BC34" i="3"/>
  <c r="BA34" i="3"/>
  <c r="AZ34" i="3"/>
  <c r="AY34" i="3"/>
  <c r="AW34" i="3"/>
  <c r="AU34" i="3"/>
  <c r="AR34" i="3"/>
  <c r="AP34" i="3"/>
  <c r="AM34" i="3"/>
  <c r="AK34" i="3"/>
  <c r="AG34" i="3"/>
  <c r="AC34" i="3"/>
  <c r="Y34" i="3"/>
  <c r="Z34" i="3" s="1"/>
  <c r="X34" i="3"/>
  <c r="V34" i="3"/>
  <c r="T34" i="3"/>
  <c r="Q34" i="3"/>
  <c r="O34" i="3"/>
  <c r="I34" i="3"/>
  <c r="E34" i="3"/>
  <c r="BC32" i="3"/>
  <c r="AZ32" i="3"/>
  <c r="BA32" i="3" s="1"/>
  <c r="AY32" i="3"/>
  <c r="AW32" i="3"/>
  <c r="AU32" i="3"/>
  <c r="AR32" i="3"/>
  <c r="AP32" i="3"/>
  <c r="AM32" i="3"/>
  <c r="AK32" i="3"/>
  <c r="AG32" i="3"/>
  <c r="AC32" i="3"/>
  <c r="Y32" i="3"/>
  <c r="Z32" i="3" s="1"/>
  <c r="X32" i="3"/>
  <c r="V32" i="3"/>
  <c r="T32" i="3"/>
  <c r="Q32" i="3"/>
  <c r="O32" i="3"/>
  <c r="I32" i="3"/>
  <c r="E32" i="3"/>
  <c r="BC30" i="3"/>
  <c r="BA30" i="3"/>
  <c r="AZ30" i="3"/>
  <c r="AY30" i="3"/>
  <c r="AW30" i="3"/>
  <c r="AU30" i="3"/>
  <c r="AR30" i="3"/>
  <c r="AP30" i="3"/>
  <c r="AM30" i="3"/>
  <c r="AK30" i="3"/>
  <c r="AG30" i="3"/>
  <c r="AC30" i="3"/>
  <c r="Y30" i="3"/>
  <c r="Z30" i="3" s="1"/>
  <c r="X30" i="3"/>
  <c r="V30" i="3"/>
  <c r="T30" i="3"/>
  <c r="Q30" i="3"/>
  <c r="O30" i="3"/>
  <c r="I30" i="3"/>
  <c r="E30" i="3"/>
  <c r="BC28" i="3"/>
  <c r="AZ28" i="3"/>
  <c r="BA28" i="3" s="1"/>
  <c r="AY28" i="3"/>
  <c r="AW28" i="3"/>
  <c r="AU28" i="3"/>
  <c r="AR28" i="3"/>
  <c r="AP28" i="3"/>
  <c r="AM28" i="3"/>
  <c r="AK28" i="3"/>
  <c r="AG28" i="3"/>
  <c r="AC28" i="3"/>
  <c r="Z28" i="3"/>
  <c r="Y28" i="3"/>
  <c r="X28" i="3"/>
  <c r="V28" i="3"/>
  <c r="T28" i="3"/>
  <c r="Q28" i="3"/>
  <c r="O28" i="3"/>
  <c r="I28" i="3"/>
  <c r="E28" i="3"/>
  <c r="BC26" i="3"/>
  <c r="BA26" i="3"/>
  <c r="AZ26" i="3"/>
  <c r="AY26" i="3"/>
  <c r="AW26" i="3"/>
  <c r="AU26" i="3"/>
  <c r="AR26" i="3"/>
  <c r="AP26" i="3"/>
  <c r="AM26" i="3"/>
  <c r="AK26" i="3"/>
  <c r="AG26" i="3"/>
  <c r="AC26" i="3"/>
  <c r="Y26" i="3"/>
  <c r="Z26" i="3" s="1"/>
  <c r="X26" i="3"/>
  <c r="V26" i="3"/>
  <c r="T26" i="3"/>
  <c r="Q26" i="3"/>
  <c r="O26" i="3"/>
  <c r="I26" i="3"/>
  <c r="E26" i="3"/>
  <c r="BC24" i="3"/>
  <c r="AZ24" i="3"/>
  <c r="BA24" i="3" s="1"/>
  <c r="AY24" i="3"/>
  <c r="AW24" i="3"/>
  <c r="AU24" i="3"/>
  <c r="AR24" i="3"/>
  <c r="AP24" i="3"/>
  <c r="AM24" i="3"/>
  <c r="AK24" i="3"/>
  <c r="AG24" i="3"/>
  <c r="AC24" i="3"/>
  <c r="Z24" i="3"/>
  <c r="Y24" i="3"/>
  <c r="X24" i="3"/>
  <c r="V24" i="3"/>
  <c r="T24" i="3"/>
  <c r="Q24" i="3"/>
  <c r="O24" i="3"/>
  <c r="I24" i="3"/>
  <c r="E24" i="3"/>
  <c r="BC22" i="3"/>
  <c r="BA22" i="3"/>
  <c r="AZ22" i="3"/>
  <c r="AY22" i="3"/>
  <c r="AW22" i="3"/>
  <c r="AU22" i="3"/>
  <c r="AR22" i="3"/>
  <c r="AP22" i="3"/>
  <c r="AM22" i="3"/>
  <c r="AK22" i="3"/>
  <c r="AG22" i="3"/>
  <c r="AC22" i="3"/>
  <c r="Y22" i="3"/>
  <c r="Z22" i="3" s="1"/>
  <c r="X22" i="3"/>
  <c r="V22" i="3"/>
  <c r="T22" i="3"/>
  <c r="Q22" i="3"/>
  <c r="O22" i="3"/>
  <c r="I22" i="3"/>
  <c r="E22" i="3"/>
  <c r="BC20" i="3"/>
  <c r="BA20" i="3"/>
  <c r="AZ20" i="3"/>
  <c r="AY20" i="3"/>
  <c r="AW20" i="3"/>
  <c r="AU20" i="3"/>
  <c r="AR20" i="3"/>
  <c r="AP20" i="3"/>
  <c r="AM20" i="3"/>
  <c r="AK20" i="3"/>
  <c r="AG20" i="3"/>
  <c r="AC20" i="3"/>
  <c r="Z20" i="3"/>
  <c r="Y20" i="3"/>
  <c r="X20" i="3"/>
  <c r="V20" i="3"/>
  <c r="T20" i="3"/>
  <c r="Q20" i="3"/>
  <c r="O20" i="3"/>
  <c r="I20" i="3"/>
  <c r="E20" i="3"/>
  <c r="BC18" i="3"/>
  <c r="BA18" i="3"/>
  <c r="AZ18" i="3"/>
  <c r="AY18" i="3"/>
  <c r="AW18" i="3"/>
  <c r="AU18" i="3"/>
  <c r="AR18" i="3"/>
  <c r="AP18" i="3"/>
  <c r="AM18" i="3"/>
  <c r="AK18" i="3"/>
  <c r="AG18" i="3"/>
  <c r="AC18" i="3"/>
  <c r="Z18" i="3"/>
  <c r="Y18" i="3"/>
  <c r="X18" i="3"/>
  <c r="V18" i="3"/>
  <c r="T18" i="3"/>
  <c r="Q18" i="3"/>
  <c r="O18" i="3"/>
  <c r="I18" i="3"/>
  <c r="E18" i="3"/>
  <c r="BC16" i="3"/>
  <c r="AZ16" i="3"/>
  <c r="BA16" i="3" s="1"/>
  <c r="AY16" i="3"/>
  <c r="AW16" i="3"/>
  <c r="AU16" i="3"/>
  <c r="AR16" i="3"/>
  <c r="AP16" i="3"/>
  <c r="AM16" i="3"/>
  <c r="AK16" i="3"/>
  <c r="AG16" i="3"/>
  <c r="AC16" i="3"/>
  <c r="Y16" i="3"/>
  <c r="Z16" i="3" s="1"/>
  <c r="X16" i="3"/>
  <c r="V16" i="3"/>
  <c r="T16" i="3"/>
  <c r="Q16" i="3"/>
  <c r="O16" i="3"/>
  <c r="I16" i="3"/>
  <c r="E16" i="3"/>
  <c r="BC14" i="3"/>
  <c r="AZ14" i="3"/>
  <c r="BA14" i="3" s="1"/>
  <c r="AY14" i="3"/>
  <c r="AW14" i="3"/>
  <c r="AU14" i="3"/>
  <c r="AR14" i="3"/>
  <c r="AP14" i="3"/>
  <c r="AM14" i="3"/>
  <c r="AK14" i="3"/>
  <c r="AG14" i="3"/>
  <c r="AC14" i="3"/>
  <c r="Y14" i="3"/>
  <c r="Z14" i="3" s="1"/>
  <c r="X14" i="3"/>
  <c r="V14" i="3"/>
  <c r="T14" i="3"/>
  <c r="Q14" i="3"/>
  <c r="O14" i="3"/>
  <c r="I14" i="3"/>
  <c r="E14" i="3"/>
  <c r="BC12" i="3"/>
  <c r="AZ12" i="3"/>
  <c r="BA12" i="3" s="1"/>
  <c r="AY12" i="3"/>
  <c r="AW12" i="3"/>
  <c r="AU12" i="3"/>
  <c r="AR12" i="3"/>
  <c r="AP12" i="3"/>
  <c r="AM12" i="3"/>
  <c r="AK12" i="3"/>
  <c r="AG12" i="3"/>
  <c r="AC12" i="3"/>
  <c r="Z12" i="3"/>
  <c r="Y12" i="3"/>
  <c r="X12" i="3"/>
  <c r="V12" i="3"/>
  <c r="T12" i="3"/>
  <c r="Q12" i="3"/>
  <c r="O12" i="3"/>
  <c r="I12" i="3"/>
  <c r="E12" i="3"/>
  <c r="BC10" i="3"/>
  <c r="BA10" i="3"/>
  <c r="AZ10" i="3"/>
  <c r="AY10" i="3"/>
  <c r="AW10" i="3"/>
  <c r="AU10" i="3"/>
  <c r="AR10" i="3"/>
  <c r="AP10" i="3"/>
  <c r="AM10" i="3"/>
  <c r="AK10" i="3"/>
  <c r="AG10" i="3"/>
  <c r="AC10" i="3"/>
  <c r="Y10" i="3"/>
  <c r="Z10" i="3" s="1"/>
  <c r="X10" i="3"/>
  <c r="V10" i="3"/>
  <c r="T10" i="3"/>
  <c r="Q10" i="3"/>
  <c r="O10" i="3"/>
  <c r="I10" i="3"/>
  <c r="E10" i="3"/>
  <c r="BC8" i="3"/>
  <c r="AZ8" i="3"/>
  <c r="BA8" i="3" s="1"/>
  <c r="AY8" i="3"/>
  <c r="AW8" i="3"/>
  <c r="AU8" i="3"/>
  <c r="AR8" i="3"/>
  <c r="AP8" i="3"/>
  <c r="AM8" i="3"/>
  <c r="AK8" i="3"/>
  <c r="AG8" i="3"/>
  <c r="AC8" i="3"/>
  <c r="Z8" i="3"/>
  <c r="Y8" i="3"/>
  <c r="X8" i="3"/>
  <c r="V8" i="3"/>
  <c r="T8" i="3"/>
  <c r="Q8" i="3"/>
  <c r="O8" i="3"/>
  <c r="I8" i="3"/>
  <c r="E8" i="3"/>
  <c r="BC6" i="3"/>
  <c r="BA6" i="3"/>
  <c r="AZ6" i="3"/>
  <c r="AY6" i="3"/>
  <c r="AW6" i="3"/>
  <c r="AU6" i="3"/>
  <c r="AR6" i="3"/>
  <c r="AP6" i="3"/>
  <c r="AM6" i="3"/>
  <c r="AK6" i="3"/>
  <c r="AG6" i="3"/>
  <c r="AC6" i="3"/>
  <c r="Y6" i="3"/>
  <c r="Z6" i="3" s="1"/>
  <c r="X6" i="3"/>
  <c r="V6" i="3"/>
  <c r="T6" i="3"/>
  <c r="Q6" i="3"/>
  <c r="O6" i="3"/>
  <c r="I6" i="3"/>
  <c r="E6" i="3"/>
  <c r="BC4" i="3"/>
  <c r="AZ4" i="3"/>
  <c r="BA4" i="3" s="1"/>
  <c r="AY4" i="3"/>
  <c r="AW4" i="3"/>
  <c r="AU4" i="3"/>
  <c r="AR4" i="3"/>
  <c r="AP4" i="3"/>
  <c r="AM4" i="3"/>
  <c r="AK4" i="3"/>
  <c r="AG4" i="3"/>
  <c r="AC4" i="3"/>
  <c r="Z4" i="3"/>
  <c r="Y4" i="3"/>
  <c r="X4" i="3"/>
  <c r="V4" i="3"/>
  <c r="T4" i="3"/>
  <c r="Q4" i="3"/>
  <c r="O4" i="3"/>
  <c r="I4" i="3"/>
  <c r="E4" i="3"/>
  <c r="BC2" i="3"/>
  <c r="BA2" i="3"/>
  <c r="AZ2" i="3"/>
  <c r="AY2" i="3"/>
  <c r="AW2" i="3"/>
  <c r="AU2" i="3"/>
  <c r="AR2" i="3"/>
  <c r="AP2" i="3"/>
  <c r="AM2" i="3"/>
  <c r="AK2" i="3"/>
  <c r="AG2" i="3"/>
  <c r="AC2" i="3"/>
  <c r="Y2" i="3"/>
  <c r="Z2" i="3" s="1"/>
  <c r="X2" i="3"/>
  <c r="V2" i="3"/>
  <c r="T2" i="3"/>
  <c r="Q2" i="3"/>
  <c r="O2" i="3"/>
  <c r="I2" i="3"/>
  <c r="E2" i="3"/>
  <c r="BC121" i="3"/>
  <c r="AZ121" i="3"/>
  <c r="BA121" i="3" s="1"/>
  <c r="AY121" i="3"/>
  <c r="AW121" i="3"/>
  <c r="AU121" i="3"/>
  <c r="AR121" i="3"/>
  <c r="AP121" i="3"/>
  <c r="AM121" i="3"/>
  <c r="AK121" i="3"/>
  <c r="AG121" i="3"/>
  <c r="AC121" i="3"/>
  <c r="Z121" i="3"/>
  <c r="Y121" i="3"/>
  <c r="X121" i="3"/>
  <c r="V121" i="3"/>
  <c r="T121" i="3"/>
  <c r="Q121" i="3"/>
  <c r="O121" i="3"/>
  <c r="I121" i="3"/>
  <c r="E121" i="3"/>
  <c r="BC119" i="3"/>
  <c r="BA119" i="3"/>
  <c r="AZ119" i="3"/>
  <c r="AY119" i="3"/>
  <c r="AW119" i="3"/>
  <c r="AU119" i="3"/>
  <c r="AR119" i="3"/>
  <c r="AP119" i="3"/>
  <c r="AM119" i="3"/>
  <c r="AK119" i="3"/>
  <c r="AG119" i="3"/>
  <c r="AC119" i="3"/>
  <c r="Y119" i="3"/>
  <c r="Z119" i="3" s="1"/>
  <c r="X119" i="3"/>
  <c r="V119" i="3"/>
  <c r="T119" i="3"/>
  <c r="Q119" i="3"/>
  <c r="O119" i="3"/>
  <c r="I119" i="3"/>
  <c r="E119" i="3"/>
  <c r="BC117" i="3"/>
  <c r="BA117" i="3"/>
  <c r="AZ117" i="3"/>
  <c r="AY117" i="3"/>
  <c r="AW117" i="3"/>
  <c r="AU117" i="3"/>
  <c r="AR117" i="3"/>
  <c r="AP117" i="3"/>
  <c r="AM117" i="3"/>
  <c r="AK117" i="3"/>
  <c r="AG117" i="3"/>
  <c r="AC117" i="3"/>
  <c r="Y117" i="3"/>
  <c r="Z117" i="3" s="1"/>
  <c r="X117" i="3"/>
  <c r="V117" i="3"/>
  <c r="T117" i="3"/>
  <c r="Q117" i="3"/>
  <c r="O117" i="3"/>
  <c r="I117" i="3"/>
  <c r="E117" i="3"/>
  <c r="BC115" i="3"/>
  <c r="AZ115" i="3"/>
  <c r="BA115" i="3" s="1"/>
  <c r="AY115" i="3"/>
  <c r="AW115" i="3"/>
  <c r="AU115" i="3"/>
  <c r="AR115" i="3"/>
  <c r="AP115" i="3"/>
  <c r="AM115" i="3"/>
  <c r="AK115" i="3"/>
  <c r="AG115" i="3"/>
  <c r="AC115" i="3"/>
  <c r="Z115" i="3"/>
  <c r="Y115" i="3"/>
  <c r="X115" i="3"/>
  <c r="V115" i="3"/>
  <c r="T115" i="3"/>
  <c r="Q115" i="3"/>
  <c r="O115" i="3"/>
  <c r="I115" i="3"/>
  <c r="E115" i="3"/>
  <c r="BC113" i="3"/>
  <c r="BA113" i="3"/>
  <c r="AZ113" i="3"/>
  <c r="AY113" i="3"/>
  <c r="AW113" i="3"/>
  <c r="AU113" i="3"/>
  <c r="AR113" i="3"/>
  <c r="AP113" i="3"/>
  <c r="AM113" i="3"/>
  <c r="AK113" i="3"/>
  <c r="AG113" i="3"/>
  <c r="AC113" i="3"/>
  <c r="Y113" i="3"/>
  <c r="Z113" i="3" s="1"/>
  <c r="X113" i="3"/>
  <c r="V113" i="3"/>
  <c r="T113" i="3"/>
  <c r="Q113" i="3"/>
  <c r="O113" i="3"/>
  <c r="I113" i="3"/>
  <c r="E113" i="3"/>
  <c r="BC111" i="3"/>
  <c r="AZ111" i="3"/>
  <c r="BA111" i="3" s="1"/>
  <c r="AY111" i="3"/>
  <c r="AW111" i="3"/>
  <c r="AU111" i="3"/>
  <c r="AR111" i="3"/>
  <c r="AP111" i="3"/>
  <c r="AM111" i="3"/>
  <c r="AK111" i="3"/>
  <c r="AG111" i="3"/>
  <c r="AC111" i="3"/>
  <c r="Z111" i="3"/>
  <c r="Y111" i="3"/>
  <c r="X111" i="3"/>
  <c r="V111" i="3"/>
  <c r="T111" i="3"/>
  <c r="Q111" i="3"/>
  <c r="O111" i="3"/>
  <c r="I111" i="3"/>
  <c r="E111" i="3"/>
  <c r="BC109" i="3"/>
  <c r="AZ109" i="3"/>
  <c r="BA109" i="3" s="1"/>
  <c r="AY109" i="3"/>
  <c r="AW109" i="3"/>
  <c r="AU109" i="3"/>
  <c r="AR109" i="3"/>
  <c r="AP109" i="3"/>
  <c r="AM109" i="3"/>
  <c r="AK109" i="3"/>
  <c r="AG109" i="3"/>
  <c r="AC109" i="3"/>
  <c r="Z109" i="3"/>
  <c r="Y109" i="3"/>
  <c r="X109" i="3"/>
  <c r="V109" i="3"/>
  <c r="T109" i="3"/>
  <c r="Q109" i="3"/>
  <c r="O109" i="3"/>
  <c r="I109" i="3"/>
  <c r="E109" i="3"/>
  <c r="BC107" i="3"/>
  <c r="BA107" i="3"/>
  <c r="AZ107" i="3"/>
  <c r="AY107" i="3"/>
  <c r="AW107" i="3"/>
  <c r="AU107" i="3"/>
  <c r="AR107" i="3"/>
  <c r="AP107" i="3"/>
  <c r="AM107" i="3"/>
  <c r="AK107" i="3"/>
  <c r="AG107" i="3"/>
  <c r="AC107" i="3"/>
  <c r="Y107" i="3"/>
  <c r="Z107" i="3" s="1"/>
  <c r="X107" i="3"/>
  <c r="V107" i="3"/>
  <c r="T107" i="3"/>
  <c r="Q107" i="3"/>
  <c r="O107" i="3"/>
  <c r="I107" i="3"/>
  <c r="E107" i="3"/>
  <c r="BC105" i="3"/>
  <c r="AZ105" i="3"/>
  <c r="BA105" i="3" s="1"/>
  <c r="AY105" i="3"/>
  <c r="AW105" i="3"/>
  <c r="AU105" i="3"/>
  <c r="AR105" i="3"/>
  <c r="AP105" i="3"/>
  <c r="AM105" i="3"/>
  <c r="AK105" i="3"/>
  <c r="AG105" i="3"/>
  <c r="AC105" i="3"/>
  <c r="Z105" i="3"/>
  <c r="Y105" i="3"/>
  <c r="X105" i="3"/>
  <c r="V105" i="3"/>
  <c r="T105" i="3"/>
  <c r="Q105" i="3"/>
  <c r="O105" i="3"/>
  <c r="I105" i="3"/>
  <c r="E105" i="3"/>
  <c r="BC103" i="3"/>
  <c r="BA103" i="3"/>
  <c r="AZ103" i="3"/>
  <c r="AY103" i="3"/>
  <c r="AW103" i="3"/>
  <c r="AU103" i="3"/>
  <c r="AR103" i="3"/>
  <c r="AP103" i="3"/>
  <c r="AM103" i="3"/>
  <c r="AK103" i="3"/>
  <c r="AG103" i="3"/>
  <c r="AC103" i="3"/>
  <c r="Y103" i="3"/>
  <c r="Z103" i="3" s="1"/>
  <c r="X103" i="3"/>
  <c r="V103" i="3"/>
  <c r="T103" i="3"/>
  <c r="Q103" i="3"/>
  <c r="O103" i="3"/>
  <c r="I103" i="3"/>
  <c r="E103" i="3"/>
  <c r="BC101" i="3"/>
  <c r="BA101" i="3"/>
  <c r="AZ101" i="3"/>
  <c r="AY101" i="3"/>
  <c r="AW101" i="3"/>
  <c r="AU101" i="3"/>
  <c r="AR101" i="3"/>
  <c r="AP101" i="3"/>
  <c r="AM101" i="3"/>
  <c r="AK101" i="3"/>
  <c r="AG101" i="3"/>
  <c r="AC101" i="3"/>
  <c r="Y101" i="3"/>
  <c r="Z101" i="3" s="1"/>
  <c r="X101" i="3"/>
  <c r="V101" i="3"/>
  <c r="T101" i="3"/>
  <c r="Q101" i="3"/>
  <c r="O101" i="3"/>
  <c r="I101" i="3"/>
  <c r="E101" i="3"/>
  <c r="BC99" i="3"/>
  <c r="BA99" i="3"/>
  <c r="AZ99" i="3"/>
  <c r="AY99" i="3"/>
  <c r="AW99" i="3"/>
  <c r="AU99" i="3"/>
  <c r="AR99" i="3"/>
  <c r="AP99" i="3"/>
  <c r="AM99" i="3"/>
  <c r="AK99" i="3"/>
  <c r="AG99" i="3"/>
  <c r="AC99" i="3"/>
  <c r="Z99" i="3"/>
  <c r="Y99" i="3"/>
  <c r="X99" i="3"/>
  <c r="V99" i="3"/>
  <c r="T99" i="3"/>
  <c r="Q99" i="3"/>
  <c r="O99" i="3"/>
  <c r="I99" i="3"/>
  <c r="E99" i="3"/>
  <c r="BC97" i="3"/>
  <c r="BA97" i="3"/>
  <c r="AZ97" i="3"/>
  <c r="AY97" i="3"/>
  <c r="AW97" i="3"/>
  <c r="AU97" i="3"/>
  <c r="AR97" i="3"/>
  <c r="AP97" i="3"/>
  <c r="AM97" i="3"/>
  <c r="AK97" i="3"/>
  <c r="AG97" i="3"/>
  <c r="AC97" i="3"/>
  <c r="Z97" i="3"/>
  <c r="Y97" i="3"/>
  <c r="X97" i="3"/>
  <c r="V97" i="3"/>
  <c r="T97" i="3"/>
  <c r="Q97" i="3"/>
  <c r="O97" i="3"/>
  <c r="I97" i="3"/>
  <c r="E97" i="3"/>
  <c r="BC95" i="3"/>
  <c r="AZ95" i="3"/>
  <c r="BA95" i="3" s="1"/>
  <c r="AY95" i="3"/>
  <c r="AW95" i="3"/>
  <c r="AU95" i="3"/>
  <c r="AR95" i="3"/>
  <c r="AP95" i="3"/>
  <c r="AM95" i="3"/>
  <c r="AK95" i="3"/>
  <c r="AG95" i="3"/>
  <c r="AC95" i="3"/>
  <c r="Z95" i="3"/>
  <c r="Y95" i="3"/>
  <c r="X95" i="3"/>
  <c r="V95" i="3"/>
  <c r="T95" i="3"/>
  <c r="Q95" i="3"/>
  <c r="O95" i="3"/>
  <c r="I95" i="3"/>
  <c r="E95" i="3"/>
  <c r="BC93" i="3"/>
  <c r="BA93" i="3"/>
  <c r="AZ93" i="3"/>
  <c r="AY93" i="3"/>
  <c r="AW93" i="3"/>
  <c r="AU93" i="3"/>
  <c r="AR93" i="3"/>
  <c r="AP93" i="3"/>
  <c r="AM93" i="3"/>
  <c r="AK93" i="3"/>
  <c r="AG93" i="3"/>
  <c r="AC93" i="3"/>
  <c r="Y93" i="3"/>
  <c r="Z93" i="3" s="1"/>
  <c r="X93" i="3"/>
  <c r="V93" i="3"/>
  <c r="T93" i="3"/>
  <c r="Q93" i="3"/>
  <c r="O93" i="3"/>
  <c r="I93" i="3"/>
  <c r="E93" i="3"/>
  <c r="BC91" i="3"/>
  <c r="AZ91" i="3"/>
  <c r="BA91" i="3" s="1"/>
  <c r="AY91" i="3"/>
  <c r="AW91" i="3"/>
  <c r="AU91" i="3"/>
  <c r="AR91" i="3"/>
  <c r="AP91" i="3"/>
  <c r="AM91" i="3"/>
  <c r="AK91" i="3"/>
  <c r="AG91" i="3"/>
  <c r="AC91" i="3"/>
  <c r="Z91" i="3"/>
  <c r="Y91" i="3"/>
  <c r="X91" i="3"/>
  <c r="V91" i="3"/>
  <c r="T91" i="3"/>
  <c r="Q91" i="3"/>
  <c r="O91" i="3"/>
  <c r="I91" i="3"/>
  <c r="E91" i="3"/>
  <c r="BC89" i="3"/>
  <c r="AZ89" i="3"/>
  <c r="BA89" i="3" s="1"/>
  <c r="AY89" i="3"/>
  <c r="AW89" i="3"/>
  <c r="AU89" i="3"/>
  <c r="AR89" i="3"/>
  <c r="AP89" i="3"/>
  <c r="AM89" i="3"/>
  <c r="AK89" i="3"/>
  <c r="AG89" i="3"/>
  <c r="AC89" i="3"/>
  <c r="Z89" i="3"/>
  <c r="Y89" i="3"/>
  <c r="X89" i="3"/>
  <c r="V89" i="3"/>
  <c r="T89" i="3"/>
  <c r="Q89" i="3"/>
  <c r="O89" i="3"/>
  <c r="I89" i="3"/>
  <c r="E89" i="3"/>
  <c r="BC87" i="3"/>
  <c r="BA87" i="3"/>
  <c r="AZ87" i="3"/>
  <c r="AY87" i="3"/>
  <c r="AW87" i="3"/>
  <c r="AU87" i="3"/>
  <c r="AR87" i="3"/>
  <c r="AP87" i="3"/>
  <c r="AM87" i="3"/>
  <c r="AK87" i="3"/>
  <c r="AG87" i="3"/>
  <c r="AC87" i="3"/>
  <c r="Y87" i="3"/>
  <c r="Z87" i="3" s="1"/>
  <c r="X87" i="3"/>
  <c r="V87" i="3"/>
  <c r="T87" i="3"/>
  <c r="Q87" i="3"/>
  <c r="O87" i="3"/>
  <c r="I87" i="3"/>
  <c r="E87" i="3"/>
  <c r="BC85" i="3"/>
  <c r="BA85" i="3"/>
  <c r="AZ85" i="3"/>
  <c r="AY85" i="3"/>
  <c r="AW85" i="3"/>
  <c r="AU85" i="3"/>
  <c r="AR85" i="3"/>
  <c r="AP85" i="3"/>
  <c r="AM85" i="3"/>
  <c r="AK85" i="3"/>
  <c r="AG85" i="3"/>
  <c r="AC85" i="3"/>
  <c r="Y85" i="3"/>
  <c r="Z85" i="3" s="1"/>
  <c r="X85" i="3"/>
  <c r="V85" i="3"/>
  <c r="T85" i="3"/>
  <c r="Q85" i="3"/>
  <c r="O85" i="3"/>
  <c r="I85" i="3"/>
  <c r="E85" i="3"/>
  <c r="BC83" i="3"/>
  <c r="AZ83" i="3"/>
  <c r="BA83" i="3" s="1"/>
  <c r="AY83" i="3"/>
  <c r="AW83" i="3"/>
  <c r="AU83" i="3"/>
  <c r="AR83" i="3"/>
  <c r="AP83" i="3"/>
  <c r="AM83" i="3"/>
  <c r="AK83" i="3"/>
  <c r="AG83" i="3"/>
  <c r="AC83" i="3"/>
  <c r="Z83" i="3"/>
  <c r="Y83" i="3"/>
  <c r="X83" i="3"/>
  <c r="V83" i="3"/>
  <c r="T83" i="3"/>
  <c r="Q83" i="3"/>
  <c r="O83" i="3"/>
  <c r="I83" i="3"/>
  <c r="E83" i="3"/>
  <c r="BC81" i="3"/>
  <c r="BA81" i="3"/>
  <c r="AZ81" i="3"/>
  <c r="AY81" i="3"/>
  <c r="AW81" i="3"/>
  <c r="AU81" i="3"/>
  <c r="AR81" i="3"/>
  <c r="AP81" i="3"/>
  <c r="AM81" i="3"/>
  <c r="AK81" i="3"/>
  <c r="AG81" i="3"/>
  <c r="AC81" i="3"/>
  <c r="Y81" i="3"/>
  <c r="Z81" i="3" s="1"/>
  <c r="X81" i="3"/>
  <c r="V81" i="3"/>
  <c r="T81" i="3"/>
  <c r="Q81" i="3"/>
  <c r="O81" i="3"/>
  <c r="I81" i="3"/>
  <c r="E81" i="3"/>
  <c r="BC79" i="3"/>
  <c r="BA79" i="3"/>
  <c r="AZ79" i="3"/>
  <c r="AY79" i="3"/>
  <c r="AW79" i="3"/>
  <c r="AU79" i="3"/>
  <c r="AR79" i="3"/>
  <c r="AP79" i="3"/>
  <c r="AM79" i="3"/>
  <c r="AK79" i="3"/>
  <c r="AG79" i="3"/>
  <c r="AC79" i="3"/>
  <c r="Z79" i="3"/>
  <c r="Y79" i="3"/>
  <c r="X79" i="3"/>
  <c r="V79" i="3"/>
  <c r="T79" i="3"/>
  <c r="Q79" i="3"/>
  <c r="O79" i="3"/>
  <c r="I79" i="3"/>
  <c r="E79" i="3"/>
  <c r="BC77" i="3"/>
  <c r="AZ77" i="3"/>
  <c r="BA77" i="3" s="1"/>
  <c r="AY77" i="3"/>
  <c r="AW77" i="3"/>
  <c r="AU77" i="3"/>
  <c r="AR77" i="3"/>
  <c r="AP77" i="3"/>
  <c r="AM77" i="3"/>
  <c r="AK77" i="3"/>
  <c r="AG77" i="3"/>
  <c r="AC77" i="3"/>
  <c r="Z77" i="3"/>
  <c r="Y77" i="3"/>
  <c r="X77" i="3"/>
  <c r="V77" i="3"/>
  <c r="T77" i="3"/>
  <c r="Q77" i="3"/>
  <c r="O77" i="3"/>
  <c r="I77" i="3"/>
  <c r="E77" i="3"/>
  <c r="BC75" i="3"/>
  <c r="BA75" i="3"/>
  <c r="AZ75" i="3"/>
  <c r="AY75" i="3"/>
  <c r="AW75" i="3"/>
  <c r="AU75" i="3"/>
  <c r="AR75" i="3"/>
  <c r="AP75" i="3"/>
  <c r="AM75" i="3"/>
  <c r="AK75" i="3"/>
  <c r="AG75" i="3"/>
  <c r="AC75" i="3"/>
  <c r="Y75" i="3"/>
  <c r="Z75" i="3" s="1"/>
  <c r="X75" i="3"/>
  <c r="V75" i="3"/>
  <c r="T75" i="3"/>
  <c r="Q75" i="3"/>
  <c r="O75" i="3"/>
  <c r="I75" i="3"/>
  <c r="E75" i="3"/>
  <c r="BC73" i="3"/>
  <c r="AZ73" i="3"/>
  <c r="BA73" i="3" s="1"/>
  <c r="AY73" i="3"/>
  <c r="AW73" i="3"/>
  <c r="AU73" i="3"/>
  <c r="AR73" i="3"/>
  <c r="AP73" i="3"/>
  <c r="AM73" i="3"/>
  <c r="AK73" i="3"/>
  <c r="AG73" i="3"/>
  <c r="AC73" i="3"/>
  <c r="Z73" i="3"/>
  <c r="Y73" i="3"/>
  <c r="X73" i="3"/>
  <c r="V73" i="3"/>
  <c r="T73" i="3"/>
  <c r="Q73" i="3"/>
  <c r="O73" i="3"/>
  <c r="I73" i="3"/>
  <c r="E73" i="3"/>
  <c r="BC71" i="3"/>
  <c r="BA71" i="3"/>
  <c r="AZ71" i="3"/>
  <c r="AY71" i="3"/>
  <c r="AW71" i="3"/>
  <c r="AU71" i="3"/>
  <c r="AR71" i="3"/>
  <c r="AP71" i="3"/>
  <c r="AM71" i="3"/>
  <c r="AK71" i="3"/>
  <c r="AG71" i="3"/>
  <c r="AC71" i="3"/>
  <c r="Y71" i="3"/>
  <c r="Z71" i="3" s="1"/>
  <c r="X71" i="3"/>
  <c r="V71" i="3"/>
  <c r="T71" i="3"/>
  <c r="Q71" i="3"/>
  <c r="O71" i="3"/>
  <c r="I71" i="3"/>
  <c r="E71" i="3"/>
  <c r="BC69" i="3"/>
  <c r="BA69" i="3"/>
  <c r="AZ69" i="3"/>
  <c r="AY69" i="3"/>
  <c r="AW69" i="3"/>
  <c r="AU69" i="3"/>
  <c r="AR69" i="3"/>
  <c r="AP69" i="3"/>
  <c r="AM69" i="3"/>
  <c r="AK69" i="3"/>
  <c r="AG69" i="3"/>
  <c r="AC69" i="3"/>
  <c r="Y69" i="3"/>
  <c r="Z69" i="3" s="1"/>
  <c r="X69" i="3"/>
  <c r="V69" i="3"/>
  <c r="T69" i="3"/>
  <c r="Q69" i="3"/>
  <c r="O69" i="3"/>
  <c r="I69" i="3"/>
  <c r="E69" i="3"/>
  <c r="BC67" i="3"/>
  <c r="AZ67" i="3"/>
  <c r="BA67" i="3" s="1"/>
  <c r="AY67" i="3"/>
  <c r="AW67" i="3"/>
  <c r="AU67" i="3"/>
  <c r="AR67" i="3"/>
  <c r="AP67" i="3"/>
  <c r="AM67" i="3"/>
  <c r="AK67" i="3"/>
  <c r="AG67" i="3"/>
  <c r="AC67" i="3"/>
  <c r="Z67" i="3"/>
  <c r="Y67" i="3"/>
  <c r="X67" i="3"/>
  <c r="V67" i="3"/>
  <c r="T67" i="3"/>
  <c r="Q67" i="3"/>
  <c r="O67" i="3"/>
  <c r="I67" i="3"/>
  <c r="E67" i="3"/>
  <c r="BC65" i="3"/>
  <c r="BA65" i="3"/>
  <c r="AZ65" i="3"/>
  <c r="AY65" i="3"/>
  <c r="AW65" i="3"/>
  <c r="AU65" i="3"/>
  <c r="AR65" i="3"/>
  <c r="AP65" i="3"/>
  <c r="AM65" i="3"/>
  <c r="AK65" i="3"/>
  <c r="AG65" i="3"/>
  <c r="AC65" i="3"/>
  <c r="Y65" i="3"/>
  <c r="Z65" i="3" s="1"/>
  <c r="X65" i="3"/>
  <c r="V65" i="3"/>
  <c r="T65" i="3"/>
  <c r="Q65" i="3"/>
  <c r="O65" i="3"/>
  <c r="I65" i="3"/>
  <c r="E65" i="3"/>
  <c r="BC63" i="3"/>
  <c r="AZ63" i="3"/>
  <c r="BA63" i="3" s="1"/>
  <c r="AY63" i="3"/>
  <c r="AW63" i="3"/>
  <c r="AU63" i="3"/>
  <c r="AR63" i="3"/>
  <c r="AP63" i="3"/>
  <c r="AM63" i="3"/>
  <c r="AK63" i="3"/>
  <c r="AG63" i="3"/>
  <c r="AC63" i="3"/>
  <c r="Z63" i="3"/>
  <c r="Y63" i="3"/>
  <c r="X63" i="3"/>
  <c r="V63" i="3"/>
  <c r="T63" i="3"/>
  <c r="Q63" i="3"/>
  <c r="O63" i="3"/>
  <c r="I63" i="3"/>
  <c r="E63" i="3"/>
  <c r="BC61" i="3"/>
  <c r="BA61" i="3"/>
  <c r="AZ61" i="3"/>
  <c r="AY61" i="3"/>
  <c r="AW61" i="3"/>
  <c r="AU61" i="3"/>
  <c r="AR61" i="3"/>
  <c r="AP61" i="3"/>
  <c r="AM61" i="3"/>
  <c r="AK61" i="3"/>
  <c r="AG61" i="3"/>
  <c r="AC61" i="3"/>
  <c r="Y61" i="3"/>
  <c r="Z61" i="3" s="1"/>
  <c r="X61" i="3"/>
  <c r="V61" i="3"/>
  <c r="T61" i="3"/>
  <c r="Q61" i="3"/>
  <c r="O61" i="3"/>
  <c r="I61" i="3"/>
  <c r="E61" i="3"/>
  <c r="BC59" i="3"/>
  <c r="AZ59" i="3"/>
  <c r="BA59" i="3" s="1"/>
  <c r="AY59" i="3"/>
  <c r="AW59" i="3"/>
  <c r="AU59" i="3"/>
  <c r="AR59" i="3"/>
  <c r="AP59" i="3"/>
  <c r="AM59" i="3"/>
  <c r="AK59" i="3"/>
  <c r="AG59" i="3"/>
  <c r="AC59" i="3"/>
  <c r="Z59" i="3"/>
  <c r="Y59" i="3"/>
  <c r="X59" i="3"/>
  <c r="V59" i="3"/>
  <c r="T59" i="3"/>
  <c r="Q59" i="3"/>
  <c r="O59" i="3"/>
  <c r="I59" i="3"/>
  <c r="E59" i="3"/>
  <c r="BC57" i="3"/>
  <c r="AZ57" i="3"/>
  <c r="BA57" i="3" s="1"/>
  <c r="AY57" i="3"/>
  <c r="AW57" i="3"/>
  <c r="AU57" i="3"/>
  <c r="AR57" i="3"/>
  <c r="AP57" i="3"/>
  <c r="AM57" i="3"/>
  <c r="AK57" i="3"/>
  <c r="AG57" i="3"/>
  <c r="AC57" i="3"/>
  <c r="Z57" i="3"/>
  <c r="Y57" i="3"/>
  <c r="X57" i="3"/>
  <c r="V57" i="3"/>
  <c r="T57" i="3"/>
  <c r="Q57" i="3"/>
  <c r="O57" i="3"/>
  <c r="I57" i="3"/>
  <c r="E57" i="3"/>
  <c r="BC55" i="3"/>
  <c r="BA55" i="3"/>
  <c r="AZ55" i="3"/>
  <c r="AY55" i="3"/>
  <c r="AW55" i="3"/>
  <c r="AU55" i="3"/>
  <c r="AR55" i="3"/>
  <c r="AP55" i="3"/>
  <c r="AM55" i="3"/>
  <c r="AK55" i="3"/>
  <c r="AG55" i="3"/>
  <c r="AC55" i="3"/>
  <c r="Y55" i="3"/>
  <c r="Z55" i="3" s="1"/>
  <c r="X55" i="3"/>
  <c r="V55" i="3"/>
  <c r="T55" i="3"/>
  <c r="Q55" i="3"/>
  <c r="O55" i="3"/>
  <c r="I55" i="3"/>
  <c r="E55" i="3"/>
  <c r="BC53" i="3"/>
  <c r="BA53" i="3"/>
  <c r="AZ53" i="3"/>
  <c r="AY53" i="3"/>
  <c r="AW53" i="3"/>
  <c r="AU53" i="3"/>
  <c r="AR53" i="3"/>
  <c r="AP53" i="3"/>
  <c r="AM53" i="3"/>
  <c r="AK53" i="3"/>
  <c r="AG53" i="3"/>
  <c r="AC53" i="3"/>
  <c r="Y53" i="3"/>
  <c r="Z53" i="3" s="1"/>
  <c r="X53" i="3"/>
  <c r="V53" i="3"/>
  <c r="T53" i="3"/>
  <c r="Q53" i="3"/>
  <c r="O53" i="3"/>
  <c r="I53" i="3"/>
  <c r="E53" i="3"/>
  <c r="BC51" i="3"/>
  <c r="AZ51" i="3"/>
  <c r="BA51" i="3" s="1"/>
  <c r="AY51" i="3"/>
  <c r="AW51" i="3"/>
  <c r="AU51" i="3"/>
  <c r="AR51" i="3"/>
  <c r="AP51" i="3"/>
  <c r="AM51" i="3"/>
  <c r="AK51" i="3"/>
  <c r="AG51" i="3"/>
  <c r="AC51" i="3"/>
  <c r="Y51" i="3"/>
  <c r="Z51" i="3" s="1"/>
  <c r="X51" i="3"/>
  <c r="V51" i="3"/>
  <c r="T51" i="3"/>
  <c r="Q51" i="3"/>
  <c r="O51" i="3"/>
  <c r="I51" i="3"/>
  <c r="E51" i="3"/>
  <c r="BC49" i="3"/>
  <c r="AZ49" i="3"/>
  <c r="BA49" i="3" s="1"/>
  <c r="AY49" i="3"/>
  <c r="AW49" i="3"/>
  <c r="AU49" i="3"/>
  <c r="AR49" i="3"/>
  <c r="AP49" i="3"/>
  <c r="AM49" i="3"/>
  <c r="AK49" i="3"/>
  <c r="AG49" i="3"/>
  <c r="AC49" i="3"/>
  <c r="Y49" i="3"/>
  <c r="Z49" i="3" s="1"/>
  <c r="X49" i="3"/>
  <c r="V49" i="3"/>
  <c r="T49" i="3"/>
  <c r="Q49" i="3"/>
  <c r="O49" i="3"/>
  <c r="I49" i="3"/>
  <c r="E49" i="3"/>
  <c r="BC47" i="3"/>
  <c r="AZ47" i="3"/>
  <c r="BA47" i="3" s="1"/>
  <c r="AY47" i="3"/>
  <c r="AW47" i="3"/>
  <c r="AU47" i="3"/>
  <c r="AR47" i="3"/>
  <c r="AP47" i="3"/>
  <c r="AM47" i="3"/>
  <c r="AK47" i="3"/>
  <c r="AG47" i="3"/>
  <c r="AC47" i="3"/>
  <c r="Z47" i="3"/>
  <c r="Y47" i="3"/>
  <c r="X47" i="3"/>
  <c r="V47" i="3"/>
  <c r="T47" i="3"/>
  <c r="Q47" i="3"/>
  <c r="O47" i="3"/>
  <c r="I47" i="3"/>
  <c r="E47" i="3"/>
  <c r="BC45" i="3"/>
  <c r="BA45" i="3"/>
  <c r="AZ45" i="3"/>
  <c r="AY45" i="3"/>
  <c r="AW45" i="3"/>
  <c r="AU45" i="3"/>
  <c r="AR45" i="3"/>
  <c r="AP45" i="3"/>
  <c r="AM45" i="3"/>
  <c r="AK45" i="3"/>
  <c r="AG45" i="3"/>
  <c r="AC45" i="3"/>
  <c r="Y45" i="3"/>
  <c r="Z45" i="3" s="1"/>
  <c r="X45" i="3"/>
  <c r="V45" i="3"/>
  <c r="T45" i="3"/>
  <c r="Q45" i="3"/>
  <c r="O45" i="3"/>
  <c r="I45" i="3"/>
  <c r="E45" i="3"/>
  <c r="BC43" i="3"/>
  <c r="AZ43" i="3"/>
  <c r="BA43" i="3" s="1"/>
  <c r="AY43" i="3"/>
  <c r="AW43" i="3"/>
  <c r="AU43" i="3"/>
  <c r="AR43" i="3"/>
  <c r="AP43" i="3"/>
  <c r="AM43" i="3"/>
  <c r="AK43" i="3"/>
  <c r="AG43" i="3"/>
  <c r="AC43" i="3"/>
  <c r="Z43" i="3"/>
  <c r="Y43" i="3"/>
  <c r="X43" i="3"/>
  <c r="V43" i="3"/>
  <c r="T43" i="3"/>
  <c r="Q43" i="3"/>
  <c r="O43" i="3"/>
  <c r="I43" i="3"/>
  <c r="E43" i="3"/>
  <c r="BC41" i="3"/>
  <c r="AZ41" i="3"/>
  <c r="BA41" i="3" s="1"/>
  <c r="AY41" i="3"/>
  <c r="AW41" i="3"/>
  <c r="AU41" i="3"/>
  <c r="AR41" i="3"/>
  <c r="AP41" i="3"/>
  <c r="AM41" i="3"/>
  <c r="AK41" i="3"/>
  <c r="AG41" i="3"/>
  <c r="AC41" i="3"/>
  <c r="Z41" i="3"/>
  <c r="Y41" i="3"/>
  <c r="X41" i="3"/>
  <c r="V41" i="3"/>
  <c r="T41" i="3"/>
  <c r="Q41" i="3"/>
  <c r="O41" i="3"/>
  <c r="I41" i="3"/>
  <c r="E41" i="3"/>
  <c r="BC39" i="3"/>
  <c r="BA39" i="3"/>
  <c r="AZ39" i="3"/>
  <c r="AY39" i="3"/>
  <c r="AW39" i="3"/>
  <c r="AU39" i="3"/>
  <c r="AR39" i="3"/>
  <c r="AP39" i="3"/>
  <c r="AM39" i="3"/>
  <c r="AK39" i="3"/>
  <c r="AG39" i="3"/>
  <c r="AC39" i="3"/>
  <c r="Y39" i="3"/>
  <c r="Z39" i="3" s="1"/>
  <c r="X39" i="3"/>
  <c r="V39" i="3"/>
  <c r="T39" i="3"/>
  <c r="Q39" i="3"/>
  <c r="O39" i="3"/>
  <c r="I39" i="3"/>
  <c r="E39" i="3"/>
  <c r="BC37" i="3"/>
  <c r="BA37" i="3"/>
  <c r="AZ37" i="3"/>
  <c r="AY37" i="3"/>
  <c r="AW37" i="3"/>
  <c r="AU37" i="3"/>
  <c r="AR37" i="3"/>
  <c r="AP37" i="3"/>
  <c r="AM37" i="3"/>
  <c r="AK37" i="3"/>
  <c r="AG37" i="3"/>
  <c r="AC37" i="3"/>
  <c r="Y37" i="3"/>
  <c r="Z37" i="3" s="1"/>
  <c r="X37" i="3"/>
  <c r="V37" i="3"/>
  <c r="T37" i="3"/>
  <c r="Q37" i="3"/>
  <c r="O37" i="3"/>
  <c r="I37" i="3"/>
  <c r="E37" i="3"/>
  <c r="BC35" i="3"/>
  <c r="AZ35" i="3"/>
  <c r="BA35" i="3" s="1"/>
  <c r="AY35" i="3"/>
  <c r="AW35" i="3"/>
  <c r="AU35" i="3"/>
  <c r="AR35" i="3"/>
  <c r="AP35" i="3"/>
  <c r="AM35" i="3"/>
  <c r="AK35" i="3"/>
  <c r="AG35" i="3"/>
  <c r="AC35" i="3"/>
  <c r="Y35" i="3"/>
  <c r="Z35" i="3" s="1"/>
  <c r="X35" i="3"/>
  <c r="V35" i="3"/>
  <c r="T35" i="3"/>
  <c r="Q35" i="3"/>
  <c r="O35" i="3"/>
  <c r="I35" i="3"/>
  <c r="E35" i="3"/>
  <c r="BC33" i="3"/>
  <c r="AZ33" i="3"/>
  <c r="BA33" i="3" s="1"/>
  <c r="AY33" i="3"/>
  <c r="AW33" i="3"/>
  <c r="AU33" i="3"/>
  <c r="AR33" i="3"/>
  <c r="AP33" i="3"/>
  <c r="AM33" i="3"/>
  <c r="AK33" i="3"/>
  <c r="AG33" i="3"/>
  <c r="AC33" i="3"/>
  <c r="Y33" i="3"/>
  <c r="Z33" i="3" s="1"/>
  <c r="X33" i="3"/>
  <c r="V33" i="3"/>
  <c r="T33" i="3"/>
  <c r="Q33" i="3"/>
  <c r="O33" i="3"/>
  <c r="I33" i="3"/>
  <c r="E33" i="3"/>
  <c r="BC31" i="3"/>
  <c r="AZ31" i="3"/>
  <c r="BA31" i="3" s="1"/>
  <c r="AY31" i="3"/>
  <c r="AW31" i="3"/>
  <c r="AU31" i="3"/>
  <c r="AR31" i="3"/>
  <c r="AP31" i="3"/>
  <c r="AM31" i="3"/>
  <c r="AK31" i="3"/>
  <c r="AG31" i="3"/>
  <c r="AC31" i="3"/>
  <c r="Z31" i="3"/>
  <c r="Y31" i="3"/>
  <c r="X31" i="3"/>
  <c r="V31" i="3"/>
  <c r="T31" i="3"/>
  <c r="Q31" i="3"/>
  <c r="O31" i="3"/>
  <c r="I31" i="3"/>
  <c r="E31" i="3"/>
  <c r="BC29" i="3"/>
  <c r="BA29" i="3"/>
  <c r="AZ29" i="3"/>
  <c r="AY29" i="3"/>
  <c r="AW29" i="3"/>
  <c r="AU29" i="3"/>
  <c r="AR29" i="3"/>
  <c r="AP29" i="3"/>
  <c r="AM29" i="3"/>
  <c r="AK29" i="3"/>
  <c r="AG29" i="3"/>
  <c r="AC29" i="3"/>
  <c r="Y29" i="3"/>
  <c r="Z29" i="3" s="1"/>
  <c r="X29" i="3"/>
  <c r="V29" i="3"/>
  <c r="T29" i="3"/>
  <c r="Q29" i="3"/>
  <c r="O29" i="3"/>
  <c r="I29" i="3"/>
  <c r="E29" i="3"/>
  <c r="BC27" i="3"/>
  <c r="AZ27" i="3"/>
  <c r="BA27" i="3" s="1"/>
  <c r="AY27" i="3"/>
  <c r="AW27" i="3"/>
  <c r="AU27" i="3"/>
  <c r="AR27" i="3"/>
  <c r="AP27" i="3"/>
  <c r="AM27" i="3"/>
  <c r="AK27" i="3"/>
  <c r="AG27" i="3"/>
  <c r="AC27" i="3"/>
  <c r="Z27" i="3"/>
  <c r="Y27" i="3"/>
  <c r="X27" i="3"/>
  <c r="V27" i="3"/>
  <c r="T27" i="3"/>
  <c r="Q27" i="3"/>
  <c r="O27" i="3"/>
  <c r="I27" i="3"/>
  <c r="E27" i="3"/>
  <c r="BC25" i="3"/>
  <c r="AZ25" i="3"/>
  <c r="BA25" i="3" s="1"/>
  <c r="AY25" i="3"/>
  <c r="AW25" i="3"/>
  <c r="AU25" i="3"/>
  <c r="AR25" i="3"/>
  <c r="AP25" i="3"/>
  <c r="AM25" i="3"/>
  <c r="AK25" i="3"/>
  <c r="AG25" i="3"/>
  <c r="AC25" i="3"/>
  <c r="Z25" i="3"/>
  <c r="Y25" i="3"/>
  <c r="X25" i="3"/>
  <c r="V25" i="3"/>
  <c r="T25" i="3"/>
  <c r="Q25" i="3"/>
  <c r="O25" i="3"/>
  <c r="I25" i="3"/>
  <c r="E25" i="3"/>
  <c r="BC23" i="3"/>
  <c r="BA23" i="3"/>
  <c r="AZ23" i="3"/>
  <c r="AY23" i="3"/>
  <c r="AW23" i="3"/>
  <c r="AU23" i="3"/>
  <c r="AR23" i="3"/>
  <c r="AP23" i="3"/>
  <c r="AM23" i="3"/>
  <c r="AK23" i="3"/>
  <c r="AG23" i="3"/>
  <c r="AC23" i="3"/>
  <c r="Y23" i="3"/>
  <c r="Z23" i="3" s="1"/>
  <c r="X23" i="3"/>
  <c r="V23" i="3"/>
  <c r="T23" i="3"/>
  <c r="Q23" i="3"/>
  <c r="O23" i="3"/>
  <c r="I23" i="3"/>
  <c r="E23" i="3"/>
  <c r="BC21" i="3"/>
  <c r="BA21" i="3"/>
  <c r="AZ21" i="3"/>
  <c r="AY21" i="3"/>
  <c r="AW21" i="3"/>
  <c r="AU21" i="3"/>
  <c r="AR21" i="3"/>
  <c r="AP21" i="3"/>
  <c r="AM21" i="3"/>
  <c r="AK21" i="3"/>
  <c r="AG21" i="3"/>
  <c r="AC21" i="3"/>
  <c r="Y21" i="3"/>
  <c r="Z21" i="3" s="1"/>
  <c r="X21" i="3"/>
  <c r="V21" i="3"/>
  <c r="T21" i="3"/>
  <c r="Q21" i="3"/>
  <c r="O21" i="3"/>
  <c r="I21" i="3"/>
  <c r="E21" i="3"/>
  <c r="BC19" i="3"/>
  <c r="AZ19" i="3"/>
  <c r="BA19" i="3" s="1"/>
  <c r="AY19" i="3"/>
  <c r="AW19" i="3"/>
  <c r="AU19" i="3"/>
  <c r="AR19" i="3"/>
  <c r="AP19" i="3"/>
  <c r="AM19" i="3"/>
  <c r="AK19" i="3"/>
  <c r="AG19" i="3"/>
  <c r="AC19" i="3"/>
  <c r="Y19" i="3"/>
  <c r="Z19" i="3" s="1"/>
  <c r="X19" i="3"/>
  <c r="V19" i="3"/>
  <c r="T19" i="3"/>
  <c r="Q19" i="3"/>
  <c r="O19" i="3"/>
  <c r="I19" i="3"/>
  <c r="E19" i="3"/>
  <c r="BC17" i="3"/>
  <c r="AZ17" i="3"/>
  <c r="BA17" i="3" s="1"/>
  <c r="AY17" i="3"/>
  <c r="AW17" i="3"/>
  <c r="AU17" i="3"/>
  <c r="AR17" i="3"/>
  <c r="AP17" i="3"/>
  <c r="AM17" i="3"/>
  <c r="AK17" i="3"/>
  <c r="AG17" i="3"/>
  <c r="AC17" i="3"/>
  <c r="Y17" i="3"/>
  <c r="Z17" i="3" s="1"/>
  <c r="X17" i="3"/>
  <c r="V17" i="3"/>
  <c r="T17" i="3"/>
  <c r="Q17" i="3"/>
  <c r="O17" i="3"/>
  <c r="I17" i="3"/>
  <c r="E17" i="3"/>
  <c r="BC15" i="3"/>
  <c r="BA15" i="3"/>
  <c r="AZ15" i="3"/>
  <c r="AY15" i="3"/>
  <c r="AW15" i="3"/>
  <c r="AU15" i="3"/>
  <c r="AR15" i="3"/>
  <c r="AP15" i="3"/>
  <c r="AM15" i="3"/>
  <c r="AK15" i="3"/>
  <c r="AG15" i="3"/>
  <c r="AC15" i="3"/>
  <c r="Z15" i="3"/>
  <c r="Y15" i="3"/>
  <c r="X15" i="3"/>
  <c r="V15" i="3"/>
  <c r="T15" i="3"/>
  <c r="Q15" i="3"/>
  <c r="O15" i="3"/>
  <c r="I15" i="3"/>
  <c r="E15" i="3"/>
  <c r="BC13" i="3"/>
  <c r="BA13" i="3"/>
  <c r="AZ13" i="3"/>
  <c r="AY13" i="3"/>
  <c r="AW13" i="3"/>
  <c r="AU13" i="3"/>
  <c r="AR13" i="3"/>
  <c r="AP13" i="3"/>
  <c r="AM13" i="3"/>
  <c r="AK13" i="3"/>
  <c r="AG13" i="3"/>
  <c r="AC13" i="3"/>
  <c r="Z13" i="3"/>
  <c r="Y13" i="3"/>
  <c r="X13" i="3"/>
  <c r="V13" i="3"/>
  <c r="T13" i="3"/>
  <c r="Q13" i="3"/>
  <c r="O13" i="3"/>
  <c r="I13" i="3"/>
  <c r="E13" i="3"/>
  <c r="BC11" i="3"/>
  <c r="AZ11" i="3"/>
  <c r="BA11" i="3" s="1"/>
  <c r="AY11" i="3"/>
  <c r="AW11" i="3"/>
  <c r="AU11" i="3"/>
  <c r="AR11" i="3"/>
  <c r="AP11" i="3"/>
  <c r="AM11" i="3"/>
  <c r="AK11" i="3"/>
  <c r="AG11" i="3"/>
  <c r="AC11" i="3"/>
  <c r="Z11" i="3"/>
  <c r="Y11" i="3"/>
  <c r="X11" i="3"/>
  <c r="V11" i="3"/>
  <c r="T11" i="3"/>
  <c r="Q11" i="3"/>
  <c r="O11" i="3"/>
  <c r="I11" i="3"/>
  <c r="E11" i="3"/>
  <c r="BC9" i="3"/>
  <c r="AZ9" i="3"/>
  <c r="BA9" i="3" s="1"/>
  <c r="AY9" i="3"/>
  <c r="AW9" i="3"/>
  <c r="AU9" i="3"/>
  <c r="AR9" i="3"/>
  <c r="AP9" i="3"/>
  <c r="AM9" i="3"/>
  <c r="AK9" i="3"/>
  <c r="AG9" i="3"/>
  <c r="AC9" i="3"/>
  <c r="Z9" i="3"/>
  <c r="Y9" i="3"/>
  <c r="X9" i="3"/>
  <c r="V9" i="3"/>
  <c r="T9" i="3"/>
  <c r="Q9" i="3"/>
  <c r="O9" i="3"/>
  <c r="I9" i="3"/>
  <c r="E9" i="3"/>
  <c r="BC7" i="3"/>
  <c r="BA7" i="3"/>
  <c r="AZ7" i="3"/>
  <c r="AY7" i="3"/>
  <c r="AW7" i="3"/>
  <c r="AU7" i="3"/>
  <c r="AU126" i="3" s="1"/>
  <c r="AR7" i="3"/>
  <c r="AP7" i="3"/>
  <c r="AM7" i="3"/>
  <c r="AK7" i="3"/>
  <c r="AG7" i="3"/>
  <c r="AC7" i="3"/>
  <c r="Y7" i="3"/>
  <c r="Z7" i="3" s="1"/>
  <c r="X7" i="3"/>
  <c r="V7" i="3"/>
  <c r="T7" i="3"/>
  <c r="Q7" i="3"/>
  <c r="O7" i="3"/>
  <c r="I7" i="3"/>
  <c r="E7" i="3"/>
  <c r="BC5" i="3"/>
  <c r="BA5" i="3"/>
  <c r="AZ5" i="3"/>
  <c r="AY5" i="3"/>
  <c r="AW5" i="3"/>
  <c r="AU5" i="3"/>
  <c r="AR5" i="3"/>
  <c r="AP5" i="3"/>
  <c r="AM5" i="3"/>
  <c r="AK5" i="3"/>
  <c r="AG5" i="3"/>
  <c r="AC5" i="3"/>
  <c r="Y5" i="3"/>
  <c r="Z5" i="3" s="1"/>
  <c r="X5" i="3"/>
  <c r="V5" i="3"/>
  <c r="T5" i="3"/>
  <c r="Q5" i="3"/>
  <c r="O5" i="3"/>
  <c r="I5" i="3"/>
  <c r="E5" i="3"/>
  <c r="BC3" i="3"/>
  <c r="AZ3" i="3"/>
  <c r="BA3" i="3" s="1"/>
  <c r="AY3" i="3"/>
  <c r="AW3" i="3"/>
  <c r="AU3" i="3"/>
  <c r="AR3" i="3"/>
  <c r="AP3" i="3"/>
  <c r="AM3" i="3"/>
  <c r="AK3" i="3"/>
  <c r="AG3" i="3"/>
  <c r="AC3" i="3"/>
  <c r="Z3" i="3"/>
  <c r="Y3" i="3"/>
  <c r="X3" i="3"/>
  <c r="V3" i="3"/>
  <c r="T3" i="3"/>
  <c r="Q3" i="3"/>
  <c r="O3" i="3"/>
  <c r="I3" i="3"/>
  <c r="E3" i="3"/>
  <c r="E128" i="3" s="1"/>
  <c r="AU128" i="1"/>
  <c r="AU126" i="1"/>
  <c r="AP128" i="1"/>
  <c r="AP126" i="1"/>
  <c r="AH128" i="1"/>
  <c r="AH126" i="1"/>
  <c r="AK128" i="1"/>
  <c r="AK126" i="1"/>
  <c r="AG126" i="1"/>
  <c r="AG128" i="1"/>
  <c r="AC128" i="1"/>
  <c r="AC126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2" i="1"/>
  <c r="AK121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2" i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2" i="1"/>
  <c r="Z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2" i="1"/>
  <c r="M130" i="1"/>
  <c r="M128" i="1"/>
  <c r="M126" i="1"/>
  <c r="D126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Y121" i="1"/>
  <c r="X121" i="1"/>
  <c r="AY120" i="1"/>
  <c r="X120" i="1"/>
  <c r="AY119" i="1"/>
  <c r="X119" i="1"/>
  <c r="AY118" i="1"/>
  <c r="X118" i="1"/>
  <c r="AY117" i="1"/>
  <c r="X117" i="1"/>
  <c r="AY116" i="1"/>
  <c r="X116" i="1"/>
  <c r="AY115" i="1"/>
  <c r="X115" i="1"/>
  <c r="AY114" i="1"/>
  <c r="X114" i="1"/>
  <c r="AY113" i="1"/>
  <c r="X113" i="1"/>
  <c r="AY112" i="1"/>
  <c r="X112" i="1"/>
  <c r="AY111" i="1"/>
  <c r="X111" i="1"/>
  <c r="AY110" i="1"/>
  <c r="X110" i="1"/>
  <c r="AY109" i="1"/>
  <c r="X109" i="1"/>
  <c r="AY108" i="1"/>
  <c r="X108" i="1"/>
  <c r="AY107" i="1"/>
  <c r="X107" i="1"/>
  <c r="AY106" i="1"/>
  <c r="X106" i="1"/>
  <c r="AY105" i="1"/>
  <c r="X105" i="1"/>
  <c r="AY104" i="1"/>
  <c r="X104" i="1"/>
  <c r="AY103" i="1"/>
  <c r="X103" i="1"/>
  <c r="AY102" i="1"/>
  <c r="X102" i="1"/>
  <c r="AY101" i="1"/>
  <c r="X101" i="1"/>
  <c r="AY100" i="1"/>
  <c r="X100" i="1"/>
  <c r="AY99" i="1"/>
  <c r="X99" i="1"/>
  <c r="AY98" i="1"/>
  <c r="X98" i="1"/>
  <c r="AY97" i="1"/>
  <c r="X97" i="1"/>
  <c r="AY96" i="1"/>
  <c r="X96" i="1"/>
  <c r="AY95" i="1"/>
  <c r="X95" i="1"/>
  <c r="AY94" i="1"/>
  <c r="X94" i="1"/>
  <c r="AY93" i="1"/>
  <c r="X93" i="1"/>
  <c r="AY92" i="1"/>
  <c r="X92" i="1"/>
  <c r="AY91" i="1"/>
  <c r="X91" i="1"/>
  <c r="AY90" i="1"/>
  <c r="X90" i="1"/>
  <c r="AY89" i="1"/>
  <c r="X89" i="1"/>
  <c r="AY88" i="1"/>
  <c r="X88" i="1"/>
  <c r="AY87" i="1"/>
  <c r="X87" i="1"/>
  <c r="AY86" i="1"/>
  <c r="X86" i="1"/>
  <c r="AY85" i="1"/>
  <c r="X85" i="1"/>
  <c r="AY84" i="1"/>
  <c r="X84" i="1"/>
  <c r="AY83" i="1"/>
  <c r="X83" i="1"/>
  <c r="AY82" i="1"/>
  <c r="X82" i="1"/>
  <c r="AY81" i="1"/>
  <c r="X81" i="1"/>
  <c r="AY80" i="1"/>
  <c r="X80" i="1"/>
  <c r="AY79" i="1"/>
  <c r="X79" i="1"/>
  <c r="AY78" i="1"/>
  <c r="X78" i="1"/>
  <c r="AY77" i="1"/>
  <c r="X77" i="1"/>
  <c r="AY76" i="1"/>
  <c r="X76" i="1"/>
  <c r="AY75" i="1"/>
  <c r="X75" i="1"/>
  <c r="AY74" i="1"/>
  <c r="X74" i="1"/>
  <c r="AY73" i="1"/>
  <c r="X73" i="1"/>
  <c r="AY72" i="1"/>
  <c r="X72" i="1"/>
  <c r="AY71" i="1"/>
  <c r="X71" i="1"/>
  <c r="AY70" i="1"/>
  <c r="X70" i="1"/>
  <c r="AY69" i="1"/>
  <c r="X69" i="1"/>
  <c r="AY68" i="1"/>
  <c r="X68" i="1"/>
  <c r="AY67" i="1"/>
  <c r="X67" i="1"/>
  <c r="AY66" i="1"/>
  <c r="X66" i="1"/>
  <c r="AY65" i="1"/>
  <c r="X65" i="1"/>
  <c r="AY64" i="1"/>
  <c r="X64" i="1"/>
  <c r="AY63" i="1"/>
  <c r="X63" i="1"/>
  <c r="AY62" i="1"/>
  <c r="X62" i="1"/>
  <c r="AY61" i="1"/>
  <c r="X61" i="1"/>
  <c r="AY60" i="1"/>
  <c r="X60" i="1"/>
  <c r="AY59" i="1"/>
  <c r="X59" i="1"/>
  <c r="AY58" i="1"/>
  <c r="X58" i="1"/>
  <c r="AY57" i="1"/>
  <c r="X57" i="1"/>
  <c r="AY56" i="1"/>
  <c r="X56" i="1"/>
  <c r="AY55" i="1"/>
  <c r="X55" i="1"/>
  <c r="AY54" i="1"/>
  <c r="X54" i="1"/>
  <c r="AY53" i="1"/>
  <c r="X53" i="1"/>
  <c r="AY52" i="1"/>
  <c r="X52" i="1"/>
  <c r="AY51" i="1"/>
  <c r="X51" i="1"/>
  <c r="AY50" i="1"/>
  <c r="X50" i="1"/>
  <c r="AY49" i="1"/>
  <c r="X49" i="1"/>
  <c r="AY48" i="1"/>
  <c r="X48" i="1"/>
  <c r="AY47" i="1"/>
  <c r="X47" i="1"/>
  <c r="AY46" i="1"/>
  <c r="X46" i="1"/>
  <c r="AY45" i="1"/>
  <c r="X45" i="1"/>
  <c r="AY44" i="1"/>
  <c r="X44" i="1"/>
  <c r="AY43" i="1"/>
  <c r="X43" i="1"/>
  <c r="AY42" i="1"/>
  <c r="X42" i="1"/>
  <c r="AY41" i="1"/>
  <c r="X41" i="1"/>
  <c r="AY40" i="1"/>
  <c r="X40" i="1"/>
  <c r="AY39" i="1"/>
  <c r="X39" i="1"/>
  <c r="AY38" i="1"/>
  <c r="X38" i="1"/>
  <c r="AY37" i="1"/>
  <c r="X37" i="1"/>
  <c r="AY36" i="1"/>
  <c r="X36" i="1"/>
  <c r="AY35" i="1"/>
  <c r="X35" i="1"/>
  <c r="AY34" i="1"/>
  <c r="X34" i="1"/>
  <c r="AY33" i="1"/>
  <c r="X33" i="1"/>
  <c r="AY32" i="1"/>
  <c r="X32" i="1"/>
  <c r="AY31" i="1"/>
  <c r="X31" i="1"/>
  <c r="AY30" i="1"/>
  <c r="X30" i="1"/>
  <c r="AY29" i="1"/>
  <c r="X29" i="1"/>
  <c r="AY28" i="1"/>
  <c r="X28" i="1"/>
  <c r="AY27" i="1"/>
  <c r="X27" i="1"/>
  <c r="AY26" i="1"/>
  <c r="X26" i="1"/>
  <c r="AY25" i="1"/>
  <c r="X25" i="1"/>
  <c r="AY24" i="1"/>
  <c r="X24" i="1"/>
  <c r="AY23" i="1"/>
  <c r="X23" i="1"/>
  <c r="AY22" i="1"/>
  <c r="X22" i="1"/>
  <c r="AY21" i="1"/>
  <c r="X21" i="1"/>
  <c r="AY20" i="1"/>
  <c r="X20" i="1"/>
  <c r="AY19" i="1"/>
  <c r="X19" i="1"/>
  <c r="AY18" i="1"/>
  <c r="X18" i="1"/>
  <c r="AY17" i="1"/>
  <c r="X17" i="1"/>
  <c r="AY16" i="1"/>
  <c r="X16" i="1"/>
  <c r="AY15" i="1"/>
  <c r="X15" i="1"/>
  <c r="AY14" i="1"/>
  <c r="X14" i="1"/>
  <c r="AY13" i="1"/>
  <c r="X13" i="1"/>
  <c r="AY12" i="1"/>
  <c r="X12" i="1"/>
  <c r="AY11" i="1"/>
  <c r="X11" i="1"/>
  <c r="AY10" i="1"/>
  <c r="X10" i="1"/>
  <c r="AY9" i="1"/>
  <c r="X9" i="1"/>
  <c r="AY8" i="1"/>
  <c r="X8" i="1"/>
  <c r="AY7" i="1"/>
  <c r="X7" i="1"/>
  <c r="AY6" i="1"/>
  <c r="X6" i="1"/>
  <c r="AY5" i="1"/>
  <c r="X5" i="1"/>
  <c r="AY4" i="1"/>
  <c r="X4" i="1"/>
  <c r="AY3" i="1"/>
  <c r="X3" i="1"/>
  <c r="AY2" i="1"/>
  <c r="X2" i="1"/>
  <c r="AZ3" i="1"/>
  <c r="BA3" i="1" s="1"/>
  <c r="AZ4" i="1"/>
  <c r="BA4" i="1" s="1"/>
  <c r="AZ5" i="1"/>
  <c r="BA5" i="1" s="1"/>
  <c r="AZ6" i="1"/>
  <c r="BA6" i="1" s="1"/>
  <c r="AZ7" i="1"/>
  <c r="BA7" i="1" s="1"/>
  <c r="AZ8" i="1"/>
  <c r="BA8" i="1" s="1"/>
  <c r="AZ9" i="1"/>
  <c r="BA9" i="1" s="1"/>
  <c r="AZ10" i="1"/>
  <c r="BA10" i="1" s="1"/>
  <c r="AZ11" i="1"/>
  <c r="BA11" i="1" s="1"/>
  <c r="AZ12" i="1"/>
  <c r="BA12" i="1" s="1"/>
  <c r="AZ13" i="1"/>
  <c r="BA13" i="1" s="1"/>
  <c r="AZ14" i="1"/>
  <c r="BA14" i="1" s="1"/>
  <c r="AZ15" i="1"/>
  <c r="BA15" i="1" s="1"/>
  <c r="AZ16" i="1"/>
  <c r="BA16" i="1" s="1"/>
  <c r="AZ17" i="1"/>
  <c r="BA17" i="1" s="1"/>
  <c r="AZ18" i="1"/>
  <c r="BA18" i="1" s="1"/>
  <c r="AZ19" i="1"/>
  <c r="BA19" i="1" s="1"/>
  <c r="AZ20" i="1"/>
  <c r="BA20" i="1" s="1"/>
  <c r="AZ21" i="1"/>
  <c r="BA21" i="1" s="1"/>
  <c r="AZ22" i="1"/>
  <c r="BA22" i="1" s="1"/>
  <c r="AZ23" i="1"/>
  <c r="BA23" i="1" s="1"/>
  <c r="AZ24" i="1"/>
  <c r="BA24" i="1" s="1"/>
  <c r="AZ25" i="1"/>
  <c r="BA25" i="1" s="1"/>
  <c r="AZ26" i="1"/>
  <c r="BA26" i="1" s="1"/>
  <c r="AZ27" i="1"/>
  <c r="BA27" i="1" s="1"/>
  <c r="AZ28" i="1"/>
  <c r="BA28" i="1" s="1"/>
  <c r="AZ29" i="1"/>
  <c r="BA29" i="1" s="1"/>
  <c r="AZ30" i="1"/>
  <c r="BA30" i="1" s="1"/>
  <c r="AZ31" i="1"/>
  <c r="BA31" i="1" s="1"/>
  <c r="AZ32" i="1"/>
  <c r="BA32" i="1" s="1"/>
  <c r="AZ33" i="1"/>
  <c r="BA33" i="1" s="1"/>
  <c r="AZ34" i="1"/>
  <c r="BA34" i="1" s="1"/>
  <c r="AZ35" i="1"/>
  <c r="BA35" i="1" s="1"/>
  <c r="AZ36" i="1"/>
  <c r="BA36" i="1" s="1"/>
  <c r="AZ37" i="1"/>
  <c r="BA37" i="1" s="1"/>
  <c r="AZ38" i="1"/>
  <c r="BA38" i="1" s="1"/>
  <c r="AZ39" i="1"/>
  <c r="BA39" i="1" s="1"/>
  <c r="AZ40" i="1"/>
  <c r="BA40" i="1" s="1"/>
  <c r="AZ41" i="1"/>
  <c r="BA41" i="1" s="1"/>
  <c r="AZ42" i="1"/>
  <c r="BA42" i="1" s="1"/>
  <c r="AZ43" i="1"/>
  <c r="BA43" i="1" s="1"/>
  <c r="AZ44" i="1"/>
  <c r="BA44" i="1" s="1"/>
  <c r="AZ45" i="1"/>
  <c r="BA45" i="1" s="1"/>
  <c r="AZ46" i="1"/>
  <c r="BA46" i="1" s="1"/>
  <c r="AZ47" i="1"/>
  <c r="BA47" i="1" s="1"/>
  <c r="AZ48" i="1"/>
  <c r="BA48" i="1" s="1"/>
  <c r="AZ49" i="1"/>
  <c r="BA49" i="1" s="1"/>
  <c r="AZ50" i="1"/>
  <c r="BA50" i="1" s="1"/>
  <c r="AZ51" i="1"/>
  <c r="BA51" i="1" s="1"/>
  <c r="AZ52" i="1"/>
  <c r="BA52" i="1" s="1"/>
  <c r="AZ53" i="1"/>
  <c r="BA53" i="1" s="1"/>
  <c r="AZ54" i="1"/>
  <c r="BA54" i="1" s="1"/>
  <c r="AZ55" i="1"/>
  <c r="BA55" i="1" s="1"/>
  <c r="AZ56" i="1"/>
  <c r="BA56" i="1" s="1"/>
  <c r="AZ57" i="1"/>
  <c r="BA57" i="1" s="1"/>
  <c r="AZ58" i="1"/>
  <c r="BA58" i="1" s="1"/>
  <c r="AZ59" i="1"/>
  <c r="BA59" i="1" s="1"/>
  <c r="AZ60" i="1"/>
  <c r="BA60" i="1" s="1"/>
  <c r="AZ61" i="1"/>
  <c r="BA61" i="1" s="1"/>
  <c r="AZ62" i="1"/>
  <c r="BA62" i="1" s="1"/>
  <c r="AZ63" i="1"/>
  <c r="BA63" i="1" s="1"/>
  <c r="AZ64" i="1"/>
  <c r="BA64" i="1" s="1"/>
  <c r="AZ65" i="1"/>
  <c r="BA65" i="1" s="1"/>
  <c r="AZ66" i="1"/>
  <c r="BA66" i="1" s="1"/>
  <c r="AZ67" i="1"/>
  <c r="BA67" i="1" s="1"/>
  <c r="AZ68" i="1"/>
  <c r="BA68" i="1" s="1"/>
  <c r="AZ69" i="1"/>
  <c r="BA69" i="1" s="1"/>
  <c r="AZ70" i="1"/>
  <c r="BA70" i="1" s="1"/>
  <c r="AZ71" i="1"/>
  <c r="BA71" i="1" s="1"/>
  <c r="AZ72" i="1"/>
  <c r="BA72" i="1" s="1"/>
  <c r="AZ73" i="1"/>
  <c r="BA73" i="1" s="1"/>
  <c r="AZ74" i="1"/>
  <c r="BA74" i="1" s="1"/>
  <c r="AZ75" i="1"/>
  <c r="BA75" i="1" s="1"/>
  <c r="AZ76" i="1"/>
  <c r="BA76" i="1" s="1"/>
  <c r="AZ77" i="1"/>
  <c r="BA77" i="1" s="1"/>
  <c r="AZ78" i="1"/>
  <c r="BA78" i="1" s="1"/>
  <c r="AZ79" i="1"/>
  <c r="BA79" i="1" s="1"/>
  <c r="AZ80" i="1"/>
  <c r="BA80" i="1" s="1"/>
  <c r="AZ81" i="1"/>
  <c r="BA81" i="1" s="1"/>
  <c r="AZ82" i="1"/>
  <c r="BA82" i="1" s="1"/>
  <c r="AZ83" i="1"/>
  <c r="BA83" i="1" s="1"/>
  <c r="AZ84" i="1"/>
  <c r="BA84" i="1" s="1"/>
  <c r="AZ85" i="1"/>
  <c r="BA85" i="1" s="1"/>
  <c r="AZ86" i="1"/>
  <c r="BA86" i="1" s="1"/>
  <c r="AZ87" i="1"/>
  <c r="BA87" i="1" s="1"/>
  <c r="AZ88" i="1"/>
  <c r="BA88" i="1" s="1"/>
  <c r="AZ89" i="1"/>
  <c r="BA89" i="1" s="1"/>
  <c r="AZ90" i="1"/>
  <c r="BA90" i="1" s="1"/>
  <c r="AZ91" i="1"/>
  <c r="BA91" i="1" s="1"/>
  <c r="AZ92" i="1"/>
  <c r="BA92" i="1" s="1"/>
  <c r="AZ93" i="1"/>
  <c r="BA93" i="1" s="1"/>
  <c r="AZ94" i="1"/>
  <c r="BA94" i="1" s="1"/>
  <c r="AZ95" i="1"/>
  <c r="BA95" i="1" s="1"/>
  <c r="AZ96" i="1"/>
  <c r="BA96" i="1" s="1"/>
  <c r="AZ97" i="1"/>
  <c r="BA97" i="1" s="1"/>
  <c r="AZ98" i="1"/>
  <c r="BA98" i="1" s="1"/>
  <c r="AZ99" i="1"/>
  <c r="BA99" i="1" s="1"/>
  <c r="AZ100" i="1"/>
  <c r="BA100" i="1" s="1"/>
  <c r="AZ101" i="1"/>
  <c r="BA101" i="1" s="1"/>
  <c r="AZ102" i="1"/>
  <c r="BA102" i="1" s="1"/>
  <c r="AZ103" i="1"/>
  <c r="BA103" i="1" s="1"/>
  <c r="AZ104" i="1"/>
  <c r="BA104" i="1" s="1"/>
  <c r="AZ105" i="1"/>
  <c r="BA105" i="1" s="1"/>
  <c r="AZ106" i="1"/>
  <c r="BA106" i="1" s="1"/>
  <c r="AZ107" i="1"/>
  <c r="BA107" i="1" s="1"/>
  <c r="AZ108" i="1"/>
  <c r="BA108" i="1" s="1"/>
  <c r="AZ109" i="1"/>
  <c r="BA109" i="1" s="1"/>
  <c r="AZ110" i="1"/>
  <c r="BA110" i="1" s="1"/>
  <c r="AZ111" i="1"/>
  <c r="BA111" i="1" s="1"/>
  <c r="AZ112" i="1"/>
  <c r="BA112" i="1" s="1"/>
  <c r="AZ113" i="1"/>
  <c r="BA113" i="1" s="1"/>
  <c r="AZ114" i="1"/>
  <c r="BA114" i="1" s="1"/>
  <c r="AZ115" i="1"/>
  <c r="BA115" i="1" s="1"/>
  <c r="AZ116" i="1"/>
  <c r="BA116" i="1" s="1"/>
  <c r="AZ117" i="1"/>
  <c r="BA117" i="1" s="1"/>
  <c r="AZ118" i="1"/>
  <c r="BA118" i="1" s="1"/>
  <c r="AZ119" i="1"/>
  <c r="BA119" i="1" s="1"/>
  <c r="AZ120" i="1"/>
  <c r="BA120" i="1" s="1"/>
  <c r="AZ121" i="1"/>
  <c r="BA121" i="1" s="1"/>
  <c r="AZ2" i="1"/>
  <c r="BA2" i="1" s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2" i="1"/>
  <c r="AC128" i="3" l="1"/>
  <c r="AY130" i="3"/>
  <c r="AH128" i="3"/>
  <c r="D128" i="3"/>
  <c r="AK126" i="3"/>
  <c r="AP128" i="3"/>
  <c r="X130" i="3"/>
  <c r="AP126" i="3"/>
  <c r="AG126" i="3"/>
  <c r="AU128" i="3"/>
  <c r="AG128" i="3"/>
  <c r="E126" i="3"/>
  <c r="AY126" i="3"/>
  <c r="AK128" i="3"/>
  <c r="X126" i="3"/>
  <c r="AC126" i="3"/>
  <c r="AY128" i="3"/>
  <c r="X128" i="3"/>
  <c r="AY130" i="1"/>
  <c r="AY126" i="1"/>
  <c r="X130" i="1"/>
  <c r="AY128" i="1"/>
  <c r="E126" i="1"/>
  <c r="X126" i="1"/>
  <c r="X128" i="1"/>
  <c r="E128" i="1"/>
  <c r="D128" i="1"/>
</calcChain>
</file>

<file path=xl/sharedStrings.xml><?xml version="1.0" encoding="utf-8"?>
<sst xmlns="http://schemas.openxmlformats.org/spreadsheetml/2006/main" count="454" uniqueCount="85">
  <si>
    <t>Experiment Number</t>
  </si>
  <si>
    <t>Number of Vertices</t>
  </si>
  <si>
    <t>1-Tree Lower Bound</t>
  </si>
  <si>
    <t>1-Tree Lower Bound Computation Time (sec)</t>
  </si>
  <si>
    <t>Christofides Tour Distance</t>
  </si>
  <si>
    <t>Christofides Approximation Ratio</t>
  </si>
  <si>
    <t>Arithmetic Series Partial Solver Tour Distance</t>
  </si>
  <si>
    <t>Arithmetic Series Partial Solver Approximation Ratio</t>
  </si>
  <si>
    <t>Christofides Run Time (sec)</t>
  </si>
  <si>
    <t>Arithmetic Series Partial Solver Run Time (sec)</t>
  </si>
  <si>
    <t>Simulated Annealing Tour Distance</t>
  </si>
  <si>
    <t>Simulated Annealing Approximation Ratio</t>
  </si>
  <si>
    <t>Simulated Annealing Run Time (sec)</t>
  </si>
  <si>
    <t>Ant Colony Optimization Tour Distance</t>
  </si>
  <si>
    <t>Ant Colony Optimization Approximation Ratio</t>
  </si>
  <si>
    <t>Ant Colony Optimization Run Time (sec)</t>
  </si>
  <si>
    <t>Genetic Algorithm Tour Distance</t>
  </si>
  <si>
    <t>Genetic Algorithm Approximation Ratio</t>
  </si>
  <si>
    <t>Genetic Algorithm Run Time (sec)</t>
  </si>
  <si>
    <t>D-Wave Tour Distance</t>
  </si>
  <si>
    <t>D-Wave Approximation Ratio</t>
  </si>
  <si>
    <t>D-Wave QPU Access Time (sec)</t>
  </si>
  <si>
    <t>D-Wave Charge Time (sec)</t>
  </si>
  <si>
    <t>D-Wave Run Time (sec)</t>
  </si>
  <si>
    <t>All Sources Nearest Neighbor Tour Distance</t>
  </si>
  <si>
    <t>All Sources Nearest Neighbor Approximation Ratio</t>
  </si>
  <si>
    <t>All Sources Nearest Neighbor Run Time (sec)</t>
  </si>
  <si>
    <t>Average Difference between Sorted Edge Weights</t>
  </si>
  <si>
    <t>Variance of Differences between Sorted Edge Weights</t>
  </si>
  <si>
    <t>Standard Deviation of Differences between Sorted Edge Weights</t>
  </si>
  <si>
    <t>Christofides Win Count:</t>
  </si>
  <si>
    <t>Simulated Annealing Win Count:</t>
  </si>
  <si>
    <t>Arithmetic Series Win Count:</t>
  </si>
  <si>
    <t>Ant Colony Optimization Win Count:</t>
  </si>
  <si>
    <t>Nearest Neighbor Win Count:</t>
  </si>
  <si>
    <t>Genetic Algorithm Win Count:</t>
  </si>
  <si>
    <t>Arithmetic Series Partial Solver Best Candidate Adjusted Tour Rank</t>
  </si>
  <si>
    <t>(n - 2)! - 1</t>
  </si>
  <si>
    <t>Best Candidate Adjusted Tour 0 Count:</t>
  </si>
  <si>
    <t>Best Candidate Adjusted Tour 1 Count:</t>
  </si>
  <si>
    <t>Best Candidate Adjusted Tour (n - 2)! - 1 Count:</t>
  </si>
  <si>
    <t>Arithmetic Series Partial Solver Best Source Vertex</t>
  </si>
  <si>
    <t>Arithmetic Series Partial Solver Best Source Over Vertex Count Ratio</t>
  </si>
  <si>
    <t>Arithmetic Series Partial Solver Boundary 2 Exceeded?</t>
  </si>
  <si>
    <t>YES</t>
  </si>
  <si>
    <t>Edge Difference Variance and Partial Solver Tour Distance Correlation:</t>
  </si>
  <si>
    <t>Edge Difference Variance and Partial Solver Approximation Ratio Correlation:</t>
  </si>
  <si>
    <t>Edge Difference Standard Deviation and Partial Solver Tour Distance Correlation:</t>
  </si>
  <si>
    <t>Edge Difference Standard Deviation and Partial Solver Approximation Ratio Correlation:</t>
  </si>
  <si>
    <t>All Sources Nearest Neighbor Best Source Vertex</t>
  </si>
  <si>
    <t>All Sources Nearest Neighbor Best Source Over Vertex Count Ratio</t>
  </si>
  <si>
    <t>Arithmetic Series Partial Solver Binary Logarithm of Adjusted Configuration Rank</t>
  </si>
  <si>
    <t>Best Final Heuristic</t>
  </si>
  <si>
    <t>Best Initial Heuristic</t>
  </si>
  <si>
    <t>Best Final Heuristic Tour Distance</t>
  </si>
  <si>
    <t>Best Final Heuristic Approximation Ratio</t>
  </si>
  <si>
    <t>Best Initial Heuristic Tour Distance</t>
  </si>
  <si>
    <t>Best Initial Heuristic Approximation Ratio</t>
  </si>
  <si>
    <t>Simulated Annealing Best Tour Found at Iteration</t>
  </si>
  <si>
    <t>Simulated Annealing Iteration Count</t>
  </si>
  <si>
    <t>Simulated Annealing Best Iteration Over Iteration Count Ratio</t>
  </si>
  <si>
    <t>Simulated Annealing Worst Accepted Minus Current Fitness</t>
  </si>
  <si>
    <t>Simulated Annealing Worst Accepted Minus Current Fitness Tour Distance</t>
  </si>
  <si>
    <t>Simulated Annealing Worst Accepted Minus Current Fitness Found at Iteration</t>
  </si>
  <si>
    <t>Simulated Annealing Worst Accepted Minus Current Fitness Iteration Over Iteration Count Ratio</t>
  </si>
  <si>
    <t>Simulated Annealing Worst Accepted Minus Current Best Fitness</t>
  </si>
  <si>
    <t>Simulated Annealing Worst Accepted Minus Current Best Fitness Tour Distance</t>
  </si>
  <si>
    <t>Simulated Annealing Worst Accepted Minus Current Best Fitness Found at Iteration</t>
  </si>
  <si>
    <t>Simulated Annealing Worst Accepted Minus Current Best Fitness Iteration Over Iteration Count Ratio</t>
  </si>
  <si>
    <t>Ant Colony Optimization Best Tour Found at Generation</t>
  </si>
  <si>
    <t>Ant Colony Optimization Best Generation Over Generation Count Ratio</t>
  </si>
  <si>
    <t>Genetic Algorithm Fittest Chromosome Found at Generation</t>
  </si>
  <si>
    <t>Genetic Algorithm Fittest Generation Over Generation Count Ratio</t>
  </si>
  <si>
    <t>Simulated Annealing Best Iteration Over Iteration Count Ratio and Tour Distance Correlation:</t>
  </si>
  <si>
    <t>Simulated Annealing Best Iteration Over Iteration Count Ratio and Approximation Ratio Correlation:</t>
  </si>
  <si>
    <t>Simulated Annealing Worst Accepted Minus Current Fitness Iteration Over Iteration Count Ratio and Tour Distance Correlation:</t>
  </si>
  <si>
    <t>Simulated Annealing Worst Accepted Minus Current Fitness Iteration Over Iteration Count Ratio and Approximation Ratio Correlation:</t>
  </si>
  <si>
    <t>Simulated Annealing Worst Accepted Minus Current Best Fitness Iteration Over Iteration Count Ratio and Tour Distance Correlation:</t>
  </si>
  <si>
    <t>Simulated Annealing Worst Accepted Minus Current Best Fitness Iteration Over Iteration Count Ratio and Approximation Ratio Correlation:</t>
  </si>
  <si>
    <t>Simulated Annealing Worst Accepted Minus Current Best Fitness and Tour Distance Correlation:</t>
  </si>
  <si>
    <t>Simulated Annealing Worst Accepted Minus Current Best Fitness and Approximation Ratio Correlation:</t>
  </si>
  <si>
    <t>Ant Colony Optimization Best Generation Over Generation Count Ratio and Tour Distance Correlation:</t>
  </si>
  <si>
    <t>Ant Colony Optimization Best Generation Over Generation Count Ratio and Approximation Ratio Correlation:</t>
  </si>
  <si>
    <t>Genetic Algorithm Fittest Generation Over Generation Count Ratio and Tour Distance Correlation:</t>
  </si>
  <si>
    <t>Genetic Algorithm Fittest Generation Over Generation Count Ratio and Approximation Ratio Correlation: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</si>
</sst>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0"/>
  <sheetViews>
    <sheetView topLeftCell="D107" workbookViewId="0"/>
  </sheetViews>
  <sheetFormatPr defaultRowHeight="14.4" x14ac:dyDescent="0.3"/>
  <cols>
    <col min="1" max="1" width="18.21875" customWidth="1"/>
    <col min="2" max="2" width="17.77734375" customWidth="1"/>
    <col min="3" max="3" width="43.21875" customWidth="1"/>
    <col min="4" max="4" width="66.109375" customWidth="1"/>
    <col min="5" max="5" width="75" customWidth="1"/>
    <col min="6" max="6" width="18.33203125" customWidth="1"/>
    <col min="7" max="7" width="38.21875" customWidth="1"/>
    <col min="8" max="8" width="23" customWidth="1"/>
    <col min="9" max="9" width="29" customWidth="1"/>
    <col min="10" max="10" width="24.109375" customWidth="1"/>
    <col min="11" max="11" width="69.44140625" customWidth="1"/>
    <col min="12" max="12" width="47.109375" customWidth="1"/>
    <col min="13" max="13" width="57.33203125" customWidth="1"/>
    <col min="14" max="14" width="43.88671875" customWidth="1"/>
    <col min="15" max="15" width="58.77734375" customWidth="1"/>
    <col min="16" max="16" width="39.21875" customWidth="1"/>
    <col min="17" max="17" width="44.88671875" customWidth="1"/>
    <col min="18" max="18" width="39.77734375" customWidth="1"/>
    <col min="19" max="19" width="42.44140625" customWidth="1"/>
    <col min="20" max="20" width="57.21875" customWidth="1"/>
    <col min="21" max="21" width="38.33203125" customWidth="1"/>
    <col min="22" max="22" width="44" customWidth="1"/>
    <col min="23" max="23" width="39" customWidth="1"/>
    <col min="24" max="24" width="26.109375" customWidth="1"/>
    <col min="25" max="25" width="30.44140625" customWidth="1"/>
    <col min="26" max="26" width="36.109375" customWidth="1"/>
    <col min="27" max="27" width="43.109375" customWidth="1"/>
    <col min="28" max="28" width="32.6640625" customWidth="1"/>
    <col min="29" max="29" width="85" customWidth="1"/>
    <col min="30" max="30" width="51.88671875" customWidth="1"/>
    <col min="31" max="31" width="63.6640625" customWidth="1"/>
    <col min="32" max="32" width="67.44140625" customWidth="1"/>
    <col min="33" max="33" width="113.21875" customWidth="1"/>
    <col min="34" max="34" width="87.21875" customWidth="1"/>
    <col min="35" max="35" width="67.5546875" customWidth="1"/>
    <col min="36" max="36" width="71.109375" customWidth="1"/>
    <col min="37" max="37" width="117.21875" customWidth="1"/>
    <col min="38" max="38" width="30.77734375" customWidth="1"/>
    <col min="39" max="39" width="36.77734375" customWidth="1"/>
    <col min="40" max="40" width="31.88671875" customWidth="1"/>
    <col min="41" max="41" width="48.77734375" customWidth="1"/>
    <col min="42" max="42" width="92.44140625" customWidth="1"/>
    <col min="43" max="43" width="34.21875" customWidth="1"/>
    <col min="44" max="44" width="40.21875" customWidth="1"/>
    <col min="45" max="45" width="35.109375" customWidth="1"/>
    <col min="46" max="46" width="52" customWidth="1"/>
    <col min="47" max="47" width="88.5546875" customWidth="1"/>
    <col min="48" max="48" width="28.88671875" customWidth="1"/>
    <col min="49" max="49" width="34.5546875" customWidth="1"/>
    <col min="50" max="50" width="29.5546875" customWidth="1"/>
    <col min="51" max="51" width="32" customWidth="1"/>
    <col min="52" max="52" width="29.6640625" customWidth="1"/>
    <col min="53" max="53" width="35.44140625" customWidth="1"/>
    <col min="54" max="54" width="20.44140625" customWidth="1"/>
    <col min="55" max="55" width="26.21875" customWidth="1"/>
    <col min="56" max="56" width="27.33203125" customWidth="1"/>
    <col min="57" max="57" width="23.77734375" customWidth="1"/>
    <col min="58" max="58" width="21" customWidth="1"/>
  </cols>
  <sheetData>
    <row r="1" spans="1:58" s="2" customFormat="1" x14ac:dyDescent="0.3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8</v>
      </c>
      <c r="K1" s="2" t="s">
        <v>51</v>
      </c>
      <c r="L1" s="2" t="s">
        <v>43</v>
      </c>
      <c r="M1" s="2" t="s">
        <v>36</v>
      </c>
      <c r="N1" s="2" t="s">
        <v>41</v>
      </c>
      <c r="O1" s="2" t="s">
        <v>42</v>
      </c>
      <c r="P1" s="2" t="s">
        <v>6</v>
      </c>
      <c r="Q1" s="2" t="s">
        <v>7</v>
      </c>
      <c r="R1" s="2" t="s">
        <v>9</v>
      </c>
      <c r="S1" s="2" t="s">
        <v>49</v>
      </c>
      <c r="T1" s="2" t="s">
        <v>50</v>
      </c>
      <c r="U1" s="2" t="s">
        <v>24</v>
      </c>
      <c r="V1" s="2" t="s">
        <v>25</v>
      </c>
      <c r="W1" s="2" t="s">
        <v>26</v>
      </c>
      <c r="X1" s="2" t="s">
        <v>53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10</v>
      </c>
      <c r="AM1" s="2" t="s">
        <v>11</v>
      </c>
      <c r="AN1" s="2" t="s">
        <v>12</v>
      </c>
      <c r="AO1" s="2" t="s">
        <v>69</v>
      </c>
      <c r="AP1" s="2" t="s">
        <v>70</v>
      </c>
      <c r="AQ1" s="2" t="s">
        <v>13</v>
      </c>
      <c r="AR1" s="2" t="s">
        <v>14</v>
      </c>
      <c r="AS1" s="2" t="s">
        <v>15</v>
      </c>
      <c r="AT1" s="2" t="s">
        <v>71</v>
      </c>
      <c r="AU1" s="2" t="s">
        <v>72</v>
      </c>
      <c r="AV1" s="2" t="s">
        <v>16</v>
      </c>
      <c r="AW1" s="2" t="s">
        <v>17</v>
      </c>
      <c r="AX1" s="2" t="s">
        <v>18</v>
      </c>
      <c r="AY1" s="2" t="s">
        <v>52</v>
      </c>
      <c r="AZ1" s="2" t="s">
        <v>54</v>
      </c>
      <c r="BA1" s="2" t="s">
        <v>55</v>
      </c>
      <c r="BB1" s="2" t="s">
        <v>19</v>
      </c>
      <c r="BC1" s="2" t="s">
        <v>20</v>
      </c>
      <c r="BD1" s="2" t="s">
        <v>21</v>
      </c>
      <c r="BE1" s="2" t="s">
        <v>22</v>
      </c>
      <c r="BF1" s="2" t="s">
        <v>23</v>
      </c>
    </row>
    <row r="2" spans="1:58" x14ac:dyDescent="0.3">
      <c r="A2">
        <v>1</v>
      </c>
      <c r="B2">
        <v>10</v>
      </c>
      <c r="C2">
        <v>111.819542321326</v>
      </c>
      <c r="D2">
        <v>13908.202313166301</v>
      </c>
      <c r="E2">
        <f>SQRT(D2)</f>
        <v>117.93304165146552</v>
      </c>
      <c r="F2">
        <v>14777.5076222922</v>
      </c>
      <c r="G2">
        <v>1.9280007109045901E-4</v>
      </c>
      <c r="H2">
        <v>17015.1801071597</v>
      </c>
      <c r="I2">
        <f>H2/F2</f>
        <v>1.1514242145605069</v>
      </c>
      <c r="J2">
        <v>7.6739999349229005E-4</v>
      </c>
      <c r="K2">
        <v>172.93886210225699</v>
      </c>
      <c r="L2" t="s">
        <v>44</v>
      </c>
      <c r="M2" t="s">
        <v>37</v>
      </c>
      <c r="N2">
        <v>0</v>
      </c>
      <c r="O2">
        <f>(N2+1)/B2</f>
        <v>0.1</v>
      </c>
      <c r="P2">
        <v>20133.495218873399</v>
      </c>
      <c r="Q2">
        <f>P2/F2</f>
        <v>1.3624418767682835</v>
      </c>
      <c r="R2">
        <v>1.9280007109045901E-4</v>
      </c>
      <c r="S2">
        <v>5</v>
      </c>
      <c r="T2">
        <f>(S2+1)/B2</f>
        <v>0.6</v>
      </c>
      <c r="U2">
        <v>18453.8033786708</v>
      </c>
      <c r="V2">
        <f>U2/F2</f>
        <v>1.2487764412202249</v>
      </c>
      <c r="W2" s="1">
        <v>8.3399936556816101E-5</v>
      </c>
      <c r="X2" t="str">
        <f>IF(H2=MIN(H2,P2,U2),"Christofides",IF(P2=MIN(H2,P2,U2),"Arithmetic Series","Nearest Neighbor"))</f>
        <v>Christofides</v>
      </c>
      <c r="Y2">
        <f>MIN(H2,P2,U2)</f>
        <v>17015.1801071597</v>
      </c>
      <c r="Z2">
        <f>Y2/F2</f>
        <v>1.1514242145605069</v>
      </c>
      <c r="AA2">
        <v>46</v>
      </c>
      <c r="AB2">
        <v>999</v>
      </c>
      <c r="AC2">
        <f>AA2/AB2</f>
        <v>4.6046046046046049E-2</v>
      </c>
      <c r="AD2">
        <v>0</v>
      </c>
      <c r="AE2">
        <v>17015.1801071597</v>
      </c>
      <c r="AF2">
        <v>13</v>
      </c>
      <c r="AG2">
        <f>AF2/AB2</f>
        <v>1.3013013013013013E-2</v>
      </c>
      <c r="AH2" s="1">
        <v>3.6379788070917101E-12</v>
      </c>
      <c r="AI2" s="4">
        <v>16905.237204433801</v>
      </c>
      <c r="AJ2" s="4">
        <v>66</v>
      </c>
      <c r="AK2" s="4">
        <f>AJ2/AB2</f>
        <v>6.6066066066066062E-2</v>
      </c>
      <c r="AL2">
        <v>16905.237204433801</v>
      </c>
      <c r="AM2">
        <f>AL2/F2</f>
        <v>1.1439843332533204</v>
      </c>
      <c r="AN2">
        <v>8.9623999956529501E-3</v>
      </c>
      <c r="AO2">
        <v>4</v>
      </c>
      <c r="AP2">
        <f>AO2/10</f>
        <v>0.4</v>
      </c>
      <c r="AQ2">
        <v>16905.237204433801</v>
      </c>
      <c r="AR2">
        <f>AQ2/F2</f>
        <v>1.1439843332533204</v>
      </c>
      <c r="AS2">
        <v>2.24898000014945E-2</v>
      </c>
      <c r="AT2">
        <v>7</v>
      </c>
      <c r="AU2">
        <f>AT2/100</f>
        <v>7.0000000000000007E-2</v>
      </c>
      <c r="AV2">
        <v>16905.237204433801</v>
      </c>
      <c r="AW2">
        <f>AV2/F2</f>
        <v>1.1439843332533204</v>
      </c>
      <c r="AX2">
        <v>1.9142900011502199E-2</v>
      </c>
      <c r="AY2" t="str">
        <f>IF(AL2=MIN(AL2,AQ2,AV2),"Simulated Annealing",IF(AQ2=MIN(AL2,AQ2,AV2),"Ant Colony Optimization","Genetic Algorithm"))</f>
        <v>Simulated Annealing</v>
      </c>
      <c r="AZ2">
        <f>MIN(AL2,AQ2,AV2)</f>
        <v>16905.237204433801</v>
      </c>
      <c r="BA2">
        <f>AZ2/F2</f>
        <v>1.1439843332533204</v>
      </c>
      <c r="BB2">
        <v>16905.237204433801</v>
      </c>
      <c r="BC2">
        <f>BB2/F2</f>
        <v>1.1439843332533204</v>
      </c>
      <c r="BD2">
        <v>0.318</v>
      </c>
      <c r="BE2">
        <v>5</v>
      </c>
      <c r="BF2">
        <v>5</v>
      </c>
    </row>
    <row r="3" spans="1:58" x14ac:dyDescent="0.3">
      <c r="A3">
        <v>2</v>
      </c>
      <c r="B3">
        <v>20</v>
      </c>
      <c r="C3">
        <v>25.522110113136399</v>
      </c>
      <c r="D3">
        <v>978.91811895113096</v>
      </c>
      <c r="E3">
        <f t="shared" ref="E3:E66" si="0">SQRT(D3)</f>
        <v>31.287667202128237</v>
      </c>
      <c r="F3">
        <v>16352.531522974399</v>
      </c>
      <c r="G3">
        <v>1.0918999323621299E-3</v>
      </c>
      <c r="H3">
        <v>20082.049279238399</v>
      </c>
      <c r="I3">
        <f t="shared" ref="I3:I66" si="1">H3/F3</f>
        <v>1.2280697487740191</v>
      </c>
      <c r="J3">
        <v>2.3473000037483802E-3</v>
      </c>
      <c r="K3">
        <v>1154.2721195059901</v>
      </c>
      <c r="L3" t="s">
        <v>44</v>
      </c>
      <c r="M3">
        <v>1</v>
      </c>
      <c r="N3">
        <v>2</v>
      </c>
      <c r="O3">
        <f t="shared" ref="O3:O66" si="2">(N3+1)/B3</f>
        <v>0.15</v>
      </c>
      <c r="P3">
        <v>21411.499639338599</v>
      </c>
      <c r="Q3">
        <f t="shared" ref="Q3:Q66" si="3">P3/F3</f>
        <v>1.3093691095630442</v>
      </c>
      <c r="R3">
        <v>1.0918999323621299E-3</v>
      </c>
      <c r="S3">
        <v>14</v>
      </c>
      <c r="T3">
        <f t="shared" ref="T3:T66" si="4">(S3+1)/B3</f>
        <v>0.75</v>
      </c>
      <c r="U3">
        <v>18723.7190960103</v>
      </c>
      <c r="V3">
        <f t="shared" ref="V3:V66" si="5">U3/F3</f>
        <v>1.1450043113938972</v>
      </c>
      <c r="W3">
        <v>3.6239996552467297E-4</v>
      </c>
      <c r="X3" t="str">
        <f>IF(H3=MIN(H3,P3,U3),"Christofides",IF(P3=MIN(H3,P3,U3),"Arithmetic Series","Nearest Neighbor"))</f>
        <v>Nearest Neighbor</v>
      </c>
      <c r="Y3">
        <f t="shared" ref="Y3:Y66" si="6">MIN(H3,P3,U3)</f>
        <v>18723.7190960103</v>
      </c>
      <c r="Z3">
        <f t="shared" ref="Z3:Z66" si="7">Y3/F3</f>
        <v>1.1450043113938972</v>
      </c>
      <c r="AA3">
        <v>247</v>
      </c>
      <c r="AB3">
        <v>1999</v>
      </c>
      <c r="AC3">
        <f t="shared" ref="AC3:AC66" si="8">AA3/AB3</f>
        <v>0.12356178089044523</v>
      </c>
      <c r="AD3">
        <v>0</v>
      </c>
      <c r="AE3">
        <v>18723.7190960103</v>
      </c>
      <c r="AF3">
        <v>14</v>
      </c>
      <c r="AG3">
        <f t="shared" ref="AG3:AG66" si="9">AF3/AB3</f>
        <v>7.0035017508754379E-3</v>
      </c>
      <c r="AH3" s="1">
        <v>7.2759576141834202E-12</v>
      </c>
      <c r="AI3" s="4">
        <v>17971.3312750244</v>
      </c>
      <c r="AJ3" s="4">
        <v>1725</v>
      </c>
      <c r="AK3" s="4">
        <f t="shared" ref="AK3:AK66" si="10">AJ3/AB3</f>
        <v>0.86293146573286639</v>
      </c>
      <c r="AL3">
        <v>17971.3312750244</v>
      </c>
      <c r="AM3">
        <f t="shared" ref="AM3:AM66" si="11">AL3/F3</f>
        <v>1.0989938316141252</v>
      </c>
      <c r="AN3">
        <v>1.99446000042371E-2</v>
      </c>
      <c r="AO3">
        <v>4</v>
      </c>
      <c r="AP3">
        <f t="shared" ref="AP3:AP66" si="12">AO3/10</f>
        <v>0.4</v>
      </c>
      <c r="AQ3">
        <v>18084.122445172899</v>
      </c>
      <c r="AR3">
        <f t="shared" ref="AR3:AR66" si="13">AQ3/F3</f>
        <v>1.10589130617273</v>
      </c>
      <c r="AS3">
        <v>5.1416200003586703E-2</v>
      </c>
      <c r="AT3">
        <v>37</v>
      </c>
      <c r="AU3">
        <f t="shared" ref="AU3:AU66" si="14">AT3/100</f>
        <v>0.37</v>
      </c>
      <c r="AV3">
        <v>17753.551905051299</v>
      </c>
      <c r="AW3">
        <f t="shared" ref="AW3:AW66" si="15">AV3/F3</f>
        <v>1.0856760545062116</v>
      </c>
      <c r="AX3">
        <v>1.9219700014218601E-2</v>
      </c>
      <c r="AY3" t="str">
        <f>IF(AL3=MIN(AL3,AQ3,AV3),"Simulated Annealing",IF(AQ3=MIN(AL3,AQ3,AV3),"Ant Colony Optimization","Genetic Algorithm"))</f>
        <v>Genetic Algorithm</v>
      </c>
      <c r="AZ3">
        <f>MIN(AL3,AQ3,AV3)</f>
        <v>17753.551905051299</v>
      </c>
      <c r="BA3">
        <f>AZ3/F3</f>
        <v>1.0856760545062116</v>
      </c>
      <c r="BB3">
        <v>17753.551905051299</v>
      </c>
      <c r="BC3">
        <f>BB3/F3</f>
        <v>1.0856760545062116</v>
      </c>
      <c r="BD3">
        <v>0.35</v>
      </c>
      <c r="BE3">
        <v>5</v>
      </c>
      <c r="BF3">
        <v>5</v>
      </c>
    </row>
    <row r="4" spans="1:58" x14ac:dyDescent="0.3">
      <c r="A4">
        <v>3</v>
      </c>
      <c r="B4">
        <v>30</v>
      </c>
      <c r="C4">
        <v>12.0859694547848</v>
      </c>
      <c r="D4">
        <v>348.56230536581103</v>
      </c>
      <c r="E4">
        <f t="shared" si="0"/>
        <v>18.669823388715038</v>
      </c>
      <c r="F4">
        <v>19588.569019077899</v>
      </c>
      <c r="G4">
        <v>3.44010000117123E-3</v>
      </c>
      <c r="H4">
        <v>23863.202371573501</v>
      </c>
      <c r="I4">
        <f t="shared" si="1"/>
        <v>1.2182208076726997</v>
      </c>
      <c r="J4">
        <v>6.4589999965392001E-3</v>
      </c>
      <c r="K4">
        <v>3178.6508485764002</v>
      </c>
      <c r="L4" t="s">
        <v>44</v>
      </c>
      <c r="M4">
        <v>1</v>
      </c>
      <c r="N4">
        <v>10</v>
      </c>
      <c r="O4">
        <f t="shared" si="2"/>
        <v>0.36666666666666664</v>
      </c>
      <c r="P4">
        <v>25352.541735732299</v>
      </c>
      <c r="Q4">
        <f t="shared" si="3"/>
        <v>1.2942518522430451</v>
      </c>
      <c r="R4">
        <v>3.44010000117123E-3</v>
      </c>
      <c r="S4">
        <v>19</v>
      </c>
      <c r="T4">
        <f t="shared" si="4"/>
        <v>0.66666666666666663</v>
      </c>
      <c r="U4">
        <v>24134.953605819501</v>
      </c>
      <c r="V4">
        <f t="shared" si="5"/>
        <v>1.2320937574517945</v>
      </c>
      <c r="W4">
        <v>1.0156999342143501E-3</v>
      </c>
      <c r="X4" t="str">
        <f>IF(H4=MIN(H4,P4,U4),"Christofides",IF(P4=MIN(H4,P4,U4),"Arithmetic Series","Nearest Neighbor"))</f>
        <v>Christofides</v>
      </c>
      <c r="Y4">
        <f t="shared" si="6"/>
        <v>23863.202371573501</v>
      </c>
      <c r="Z4">
        <f t="shared" si="7"/>
        <v>1.2182208076726997</v>
      </c>
      <c r="AA4">
        <v>2408</v>
      </c>
      <c r="AB4">
        <v>2999</v>
      </c>
      <c r="AC4">
        <f t="shared" si="8"/>
        <v>0.80293431143714566</v>
      </c>
      <c r="AD4">
        <v>0</v>
      </c>
      <c r="AE4">
        <v>23766.7144959578</v>
      </c>
      <c r="AF4">
        <v>29</v>
      </c>
      <c r="AG4">
        <f t="shared" si="9"/>
        <v>9.6698899633211079E-3</v>
      </c>
      <c r="AH4" s="1">
        <v>1.09139364212751E-11</v>
      </c>
      <c r="AI4" s="4">
        <v>23734.4562423803</v>
      </c>
      <c r="AJ4" s="4">
        <v>149</v>
      </c>
      <c r="AK4" s="4">
        <f t="shared" si="10"/>
        <v>4.9683227742580861E-2</v>
      </c>
      <c r="AL4">
        <v>23158.2069293446</v>
      </c>
      <c r="AM4">
        <f t="shared" si="11"/>
        <v>1.1822306625251759</v>
      </c>
      <c r="AN4">
        <v>4.1018599993549197E-2</v>
      </c>
      <c r="AO4">
        <v>4</v>
      </c>
      <c r="AP4">
        <f t="shared" si="12"/>
        <v>0.4</v>
      </c>
      <c r="AQ4">
        <v>22188.783504016399</v>
      </c>
      <c r="AR4">
        <f t="shared" si="13"/>
        <v>1.1327414208973647</v>
      </c>
      <c r="AS4">
        <v>0.11319829999411</v>
      </c>
      <c r="AT4">
        <v>56</v>
      </c>
      <c r="AU4">
        <f t="shared" si="14"/>
        <v>0.56000000000000005</v>
      </c>
      <c r="AV4">
        <v>23534.0021255469</v>
      </c>
      <c r="AW4">
        <f t="shared" si="15"/>
        <v>1.2014150754262052</v>
      </c>
      <c r="AX4">
        <v>4.4064999994589002E-2</v>
      </c>
      <c r="AY4" t="str">
        <f>IF(AL4=MIN(AL4,AQ4,AV4),"Simulated Annealing",IF(AQ4=MIN(AL4,AQ4,AV4),"Ant Colony Optimization","Genetic Algorithm"))</f>
        <v>Ant Colony Optimization</v>
      </c>
      <c r="AZ4">
        <f>MIN(AL4,AQ4,AV4)</f>
        <v>22188.783504016399</v>
      </c>
      <c r="BA4">
        <f>AZ4/F4</f>
        <v>1.1327414208973647</v>
      </c>
      <c r="BB4">
        <v>22093.5925102814</v>
      </c>
      <c r="BC4">
        <f>BB4/F4</f>
        <v>1.127881903408247</v>
      </c>
      <c r="BD4">
        <v>0.28699999999999998</v>
      </c>
      <c r="BE4">
        <v>5</v>
      </c>
      <c r="BF4">
        <v>5.0250000000000004</v>
      </c>
    </row>
    <row r="5" spans="1:58" x14ac:dyDescent="0.3">
      <c r="A5">
        <v>4</v>
      </c>
      <c r="B5">
        <v>40</v>
      </c>
      <c r="C5">
        <v>7.5936045988879899</v>
      </c>
      <c r="D5">
        <v>173.166867972517</v>
      </c>
      <c r="E5">
        <f t="shared" si="0"/>
        <v>13.159288277582379</v>
      </c>
      <c r="F5">
        <v>22888.783754092499</v>
      </c>
      <c r="G5">
        <v>7.5257000280544101E-3</v>
      </c>
      <c r="H5">
        <v>28459.5991172254</v>
      </c>
      <c r="I5">
        <f t="shared" si="1"/>
        <v>1.2433862551625026</v>
      </c>
      <c r="J5">
        <v>7.6723000092897503E-3</v>
      </c>
      <c r="K5">
        <v>6356.3488744631404</v>
      </c>
      <c r="L5" t="s">
        <v>44</v>
      </c>
      <c r="M5">
        <v>0</v>
      </c>
      <c r="N5">
        <v>34</v>
      </c>
      <c r="O5">
        <f t="shared" si="2"/>
        <v>0.875</v>
      </c>
      <c r="P5">
        <v>32132.0675676725</v>
      </c>
      <c r="Q5">
        <f t="shared" si="3"/>
        <v>1.403834642892605</v>
      </c>
      <c r="R5">
        <v>7.5257000280544101E-3</v>
      </c>
      <c r="S5">
        <v>12</v>
      </c>
      <c r="T5">
        <f t="shared" si="4"/>
        <v>0.32500000000000001</v>
      </c>
      <c r="U5">
        <v>31154.375175792102</v>
      </c>
      <c r="V5">
        <f t="shared" si="5"/>
        <v>1.3611197305414588</v>
      </c>
      <c r="W5">
        <v>2.0345000084489502E-3</v>
      </c>
      <c r="X5" t="str">
        <f>IF(H5=MIN(H5,P5,U5),"Christofides",IF(P5=MIN(H5,P5,U5),"Arithmetic Series","Nearest Neighbor"))</f>
        <v>Christofides</v>
      </c>
      <c r="Y5">
        <f t="shared" si="6"/>
        <v>28459.5991172254</v>
      </c>
      <c r="Z5">
        <f t="shared" si="7"/>
        <v>1.2433862551625026</v>
      </c>
      <c r="AA5">
        <v>3804</v>
      </c>
      <c r="AB5">
        <v>3999</v>
      </c>
      <c r="AC5">
        <f t="shared" si="8"/>
        <v>0.95123780945236314</v>
      </c>
      <c r="AD5">
        <v>0</v>
      </c>
      <c r="AE5">
        <v>28459.5991172254</v>
      </c>
      <c r="AF5">
        <v>73</v>
      </c>
      <c r="AG5">
        <f t="shared" si="9"/>
        <v>1.8254563640910229E-2</v>
      </c>
      <c r="AH5" s="1">
        <v>7.2759576141834202E-12</v>
      </c>
      <c r="AI5" s="4">
        <v>27282.5002314458</v>
      </c>
      <c r="AJ5" s="4">
        <v>894</v>
      </c>
      <c r="AK5" s="4">
        <f t="shared" si="10"/>
        <v>0.22355588897224307</v>
      </c>
      <c r="AL5">
        <v>26458.949471284301</v>
      </c>
      <c r="AM5">
        <f t="shared" si="11"/>
        <v>1.1559788303104335</v>
      </c>
      <c r="AN5">
        <v>6.9200400001136503E-2</v>
      </c>
      <c r="AO5">
        <v>1</v>
      </c>
      <c r="AP5">
        <f t="shared" si="12"/>
        <v>0.1</v>
      </c>
      <c r="AQ5">
        <v>28459.5991172254</v>
      </c>
      <c r="AR5">
        <f t="shared" si="13"/>
        <v>1.2433862551625026</v>
      </c>
      <c r="AS5">
        <v>0.21513160000904399</v>
      </c>
      <c r="AT5">
        <v>9</v>
      </c>
      <c r="AU5">
        <f t="shared" si="14"/>
        <v>0.09</v>
      </c>
      <c r="AV5">
        <v>28437.0218212617</v>
      </c>
      <c r="AW5">
        <f t="shared" si="15"/>
        <v>1.2423998639148828</v>
      </c>
      <c r="AX5">
        <v>8.3568900008685804E-2</v>
      </c>
      <c r="AY5" t="str">
        <f>IF(AL5=MIN(AL5,AQ5,AV5),"Simulated Annealing",IF(AQ5=MIN(AL5,AQ5,AV5),"Ant Colony Optimization","Genetic Algorithm"))</f>
        <v>Simulated Annealing</v>
      </c>
      <c r="AZ5">
        <f>MIN(AL5,AQ5,AV5)</f>
        <v>26458.949471284301</v>
      </c>
      <c r="BA5">
        <f>AZ5/F5</f>
        <v>1.1559788303104335</v>
      </c>
      <c r="BB5">
        <v>25614.440122588701</v>
      </c>
      <c r="BC5">
        <f>BB5/F5</f>
        <v>1.1190826213301464</v>
      </c>
      <c r="BD5">
        <v>0.30399999999999999</v>
      </c>
      <c r="BE5">
        <v>5</v>
      </c>
      <c r="BF5">
        <v>5.0339999999999998</v>
      </c>
    </row>
    <row r="6" spans="1:58" x14ac:dyDescent="0.3">
      <c r="A6">
        <v>5</v>
      </c>
      <c r="B6">
        <v>50</v>
      </c>
      <c r="C6">
        <v>5.50313927918645</v>
      </c>
      <c r="D6">
        <v>324.18309091853001</v>
      </c>
      <c r="E6">
        <f t="shared" si="0"/>
        <v>18.005085140552101</v>
      </c>
      <c r="F6">
        <v>26778.015756977002</v>
      </c>
      <c r="G6">
        <v>1.40341999940574E-2</v>
      </c>
      <c r="H6">
        <v>35401.594817597703</v>
      </c>
      <c r="I6">
        <f t="shared" si="1"/>
        <v>1.3220395095321367</v>
      </c>
      <c r="J6">
        <v>1.08536999905481E-2</v>
      </c>
      <c r="K6">
        <v>10789.0822166162</v>
      </c>
      <c r="L6" t="s">
        <v>44</v>
      </c>
      <c r="M6">
        <v>1</v>
      </c>
      <c r="N6">
        <v>31</v>
      </c>
      <c r="O6">
        <f t="shared" si="2"/>
        <v>0.64</v>
      </c>
      <c r="P6">
        <v>36188.943539575397</v>
      </c>
      <c r="Q6">
        <f t="shared" si="3"/>
        <v>1.3514423125300605</v>
      </c>
      <c r="R6">
        <v>1.40341999940574E-2</v>
      </c>
      <c r="S6">
        <v>29</v>
      </c>
      <c r="T6">
        <f t="shared" si="4"/>
        <v>0.6</v>
      </c>
      <c r="U6">
        <v>34005.556934011402</v>
      </c>
      <c r="V6">
        <f t="shared" si="5"/>
        <v>1.2699057780317897</v>
      </c>
      <c r="W6">
        <v>5.3579999366775103E-3</v>
      </c>
      <c r="X6" t="str">
        <f>IF(H6=MIN(H6,P6,U6),"Christofides",IF(P6=MIN(H6,P6,U6),"Arithmetic Series","Nearest Neighbor"))</f>
        <v>Nearest Neighbor</v>
      </c>
      <c r="Y6">
        <f t="shared" si="6"/>
        <v>34005.556934011402</v>
      </c>
      <c r="Z6">
        <f t="shared" si="7"/>
        <v>1.2699057780317897</v>
      </c>
      <c r="AA6">
        <v>2650</v>
      </c>
      <c r="AB6">
        <v>4066</v>
      </c>
      <c r="AC6">
        <f t="shared" si="8"/>
        <v>0.65174618789965566</v>
      </c>
      <c r="AD6">
        <v>0</v>
      </c>
      <c r="AE6">
        <v>33916.720234057997</v>
      </c>
      <c r="AF6">
        <v>132</v>
      </c>
      <c r="AG6">
        <f t="shared" si="9"/>
        <v>3.2464338416133789E-2</v>
      </c>
      <c r="AH6" s="1">
        <v>1.81898940354585E-11</v>
      </c>
      <c r="AI6" s="4">
        <v>32031.5620055695</v>
      </c>
      <c r="AJ6" s="4">
        <v>3042</v>
      </c>
      <c r="AK6" s="4">
        <f t="shared" si="10"/>
        <v>0.74815543531726514</v>
      </c>
      <c r="AL6">
        <v>32031.5620055695</v>
      </c>
      <c r="AM6">
        <f t="shared" si="11"/>
        <v>1.1961887802393905</v>
      </c>
      <c r="AN6">
        <v>8.9817600004607798E-2</v>
      </c>
      <c r="AO6">
        <v>4</v>
      </c>
      <c r="AP6">
        <f t="shared" si="12"/>
        <v>0.4</v>
      </c>
      <c r="AQ6">
        <v>33979.339942392799</v>
      </c>
      <c r="AR6">
        <f t="shared" si="13"/>
        <v>1.2689267289544968</v>
      </c>
      <c r="AS6">
        <v>0.36705059999076101</v>
      </c>
      <c r="AT6">
        <v>84</v>
      </c>
      <c r="AU6">
        <f t="shared" si="14"/>
        <v>0.84</v>
      </c>
      <c r="AV6">
        <v>33556.714146036102</v>
      </c>
      <c r="AW6">
        <f t="shared" si="15"/>
        <v>1.2531441631291487</v>
      </c>
      <c r="AX6">
        <v>0.149258299992652</v>
      </c>
      <c r="AY6" t="str">
        <f>IF(AL6=MIN(AL6,AQ6,AV6),"Simulated Annealing",IF(AQ6=MIN(AL6,AQ6,AV6),"Ant Colony Optimization","Genetic Algorithm"))</f>
        <v>Simulated Annealing</v>
      </c>
      <c r="AZ6">
        <f>MIN(AL6,AQ6,AV6)</f>
        <v>32031.5620055695</v>
      </c>
      <c r="BA6">
        <f>AZ6/F6</f>
        <v>1.1961887802393905</v>
      </c>
      <c r="BB6">
        <v>30823.189180257101</v>
      </c>
      <c r="BC6">
        <f>BB6/F6</f>
        <v>1.1510632251467747</v>
      </c>
      <c r="BD6">
        <v>0.33600000000000002</v>
      </c>
      <c r="BE6">
        <v>5</v>
      </c>
      <c r="BF6">
        <v>5</v>
      </c>
    </row>
    <row r="7" spans="1:58" x14ac:dyDescent="0.3">
      <c r="A7">
        <v>6</v>
      </c>
      <c r="B7">
        <v>60</v>
      </c>
      <c r="C7">
        <v>3.1908999096369999</v>
      </c>
      <c r="D7">
        <v>30.856101650525499</v>
      </c>
      <c r="E7">
        <f t="shared" si="0"/>
        <v>5.5548268785377548</v>
      </c>
      <c r="F7">
        <v>27802.604594992099</v>
      </c>
      <c r="G7">
        <v>2.19888999126851E-2</v>
      </c>
      <c r="H7">
        <v>35740.233918015001</v>
      </c>
      <c r="I7">
        <f t="shared" si="1"/>
        <v>1.2854994860608366</v>
      </c>
      <c r="J7">
        <v>1.5283700005966201E-2</v>
      </c>
      <c r="K7">
        <v>16531.8579759534</v>
      </c>
      <c r="L7" t="s">
        <v>44</v>
      </c>
      <c r="M7">
        <v>0</v>
      </c>
      <c r="N7">
        <v>24</v>
      </c>
      <c r="O7">
        <f t="shared" si="2"/>
        <v>0.41666666666666669</v>
      </c>
      <c r="P7">
        <v>38624.667808955397</v>
      </c>
      <c r="Q7">
        <f t="shared" si="3"/>
        <v>1.3892463807478168</v>
      </c>
      <c r="R7">
        <v>2.19888999126851E-2</v>
      </c>
      <c r="S7">
        <v>27</v>
      </c>
      <c r="T7">
        <f t="shared" si="4"/>
        <v>0.46666666666666667</v>
      </c>
      <c r="U7">
        <v>37116.928060003796</v>
      </c>
      <c r="V7">
        <f t="shared" si="5"/>
        <v>1.3350162188289878</v>
      </c>
      <c r="W7">
        <v>6.1582999769598202E-3</v>
      </c>
      <c r="X7" t="str">
        <f>IF(H7=MIN(H7,P7,U7),"Christofides",IF(P7=MIN(H7,P7,U7),"Arithmetic Series","Nearest Neighbor"))</f>
        <v>Christofides</v>
      </c>
      <c r="Y7">
        <f t="shared" si="6"/>
        <v>35740.233918015001</v>
      </c>
      <c r="Z7">
        <f t="shared" si="7"/>
        <v>1.2854994860608366</v>
      </c>
      <c r="AA7">
        <v>3112</v>
      </c>
      <c r="AB7">
        <v>4084</v>
      </c>
      <c r="AC7">
        <f t="shared" si="8"/>
        <v>0.761998041136141</v>
      </c>
      <c r="AD7">
        <v>0</v>
      </c>
      <c r="AE7">
        <v>35418.825798369398</v>
      </c>
      <c r="AF7">
        <v>61</v>
      </c>
      <c r="AG7">
        <f t="shared" si="9"/>
        <v>1.4936336924583741E-2</v>
      </c>
      <c r="AH7">
        <v>5.1451878449443003</v>
      </c>
      <c r="AI7" s="4">
        <v>34812.593637405902</v>
      </c>
      <c r="AJ7" s="4">
        <v>156</v>
      </c>
      <c r="AK7" s="4">
        <f t="shared" si="10"/>
        <v>3.8197845249755141E-2</v>
      </c>
      <c r="AL7">
        <v>32705.444451451502</v>
      </c>
      <c r="AM7">
        <f t="shared" si="11"/>
        <v>1.1763446241055602</v>
      </c>
      <c r="AN7">
        <v>0.103756299999076</v>
      </c>
      <c r="AO7">
        <v>10</v>
      </c>
      <c r="AP7">
        <f t="shared" si="12"/>
        <v>1</v>
      </c>
      <c r="AQ7">
        <v>33162.844035890201</v>
      </c>
      <c r="AR7">
        <f t="shared" si="13"/>
        <v>1.1927963052016934</v>
      </c>
      <c r="AS7">
        <v>0.52477279999584403</v>
      </c>
      <c r="AT7">
        <v>4</v>
      </c>
      <c r="AU7">
        <f t="shared" si="14"/>
        <v>0.04</v>
      </c>
      <c r="AV7">
        <v>35730.044207400402</v>
      </c>
      <c r="AW7">
        <f t="shared" si="15"/>
        <v>1.2851329840455388</v>
      </c>
      <c r="AX7">
        <v>0.22480429999995899</v>
      </c>
      <c r="AY7" t="str">
        <f>IF(AL7=MIN(AL7,AQ7,AV7),"Simulated Annealing",IF(AQ7=MIN(AL7,AQ7,AV7),"Ant Colony Optimization","Genetic Algorithm"))</f>
        <v>Simulated Annealing</v>
      </c>
      <c r="AZ7">
        <f>MIN(AL7,AQ7,AV7)</f>
        <v>32705.444451451502</v>
      </c>
      <c r="BA7">
        <f>AZ7/F7</f>
        <v>1.1763446241055602</v>
      </c>
      <c r="BB7">
        <v>32052.647438060201</v>
      </c>
      <c r="BC7">
        <f>BB7/F7</f>
        <v>1.1528649169737728</v>
      </c>
      <c r="BD7">
        <v>0.27200000000000002</v>
      </c>
      <c r="BE7">
        <v>5</v>
      </c>
      <c r="BF7">
        <v>5.0220000000000002</v>
      </c>
    </row>
    <row r="8" spans="1:58" x14ac:dyDescent="0.3">
      <c r="A8">
        <v>7</v>
      </c>
      <c r="B8">
        <v>70</v>
      </c>
      <c r="C8">
        <v>2.6014911783751602</v>
      </c>
      <c r="D8">
        <v>29.933580130594599</v>
      </c>
      <c r="E8">
        <f t="shared" si="0"/>
        <v>5.4711589385243231</v>
      </c>
      <c r="F8">
        <v>30625.2868639976</v>
      </c>
      <c r="G8">
        <v>3.58368000015616E-2</v>
      </c>
      <c r="H8">
        <v>38565.014405663598</v>
      </c>
      <c r="I8">
        <f t="shared" si="1"/>
        <v>1.2592539810949417</v>
      </c>
      <c r="J8">
        <v>2.5215999994543301E-2</v>
      </c>
      <c r="K8">
        <v>23646.573329340601</v>
      </c>
      <c r="L8" t="s">
        <v>44</v>
      </c>
      <c r="M8">
        <v>0</v>
      </c>
      <c r="N8">
        <v>40</v>
      </c>
      <c r="O8">
        <f t="shared" si="2"/>
        <v>0.58571428571428574</v>
      </c>
      <c r="P8">
        <v>36472.339756571702</v>
      </c>
      <c r="Q8">
        <f t="shared" si="3"/>
        <v>1.1909223877163992</v>
      </c>
      <c r="R8">
        <v>3.58368000015616E-2</v>
      </c>
      <c r="S8">
        <v>40</v>
      </c>
      <c r="T8">
        <f t="shared" si="4"/>
        <v>0.58571428571428574</v>
      </c>
      <c r="U8">
        <v>36472.339756571702</v>
      </c>
      <c r="V8">
        <f t="shared" si="5"/>
        <v>1.1909223877163992</v>
      </c>
      <c r="W8">
        <v>1.07678999193012E-2</v>
      </c>
      <c r="X8" t="str">
        <f>IF(H8=MIN(H8,P8,U8),"Christofides",IF(P8=MIN(H8,P8,U8),"Arithmetic Series","Nearest Neighbor"))</f>
        <v>Arithmetic Series</v>
      </c>
      <c r="Y8">
        <f t="shared" si="6"/>
        <v>36472.339756571702</v>
      </c>
      <c r="Z8">
        <f t="shared" si="7"/>
        <v>1.1909223877163992</v>
      </c>
      <c r="AA8">
        <v>1499</v>
      </c>
      <c r="AB8">
        <v>4099</v>
      </c>
      <c r="AC8">
        <f t="shared" si="8"/>
        <v>0.36569895096364968</v>
      </c>
      <c r="AD8">
        <v>0</v>
      </c>
      <c r="AE8">
        <v>36472.339756571702</v>
      </c>
      <c r="AF8">
        <v>42</v>
      </c>
      <c r="AG8">
        <f t="shared" si="9"/>
        <v>1.0246401561356429E-2</v>
      </c>
      <c r="AH8" s="1">
        <v>2.18278728425502E-11</v>
      </c>
      <c r="AI8" s="4">
        <v>35190.8197304758</v>
      </c>
      <c r="AJ8" s="4">
        <v>647</v>
      </c>
      <c r="AK8" s="4">
        <f t="shared" si="10"/>
        <v>0.15784337643327642</v>
      </c>
      <c r="AL8">
        <v>34519.256375058998</v>
      </c>
      <c r="AM8">
        <f t="shared" si="11"/>
        <v>1.1271488338494247</v>
      </c>
      <c r="AN8">
        <v>0.11681619999581</v>
      </c>
      <c r="AO8">
        <v>2</v>
      </c>
      <c r="AP8">
        <f t="shared" si="12"/>
        <v>0.2</v>
      </c>
      <c r="AQ8">
        <v>36331.640979094402</v>
      </c>
      <c r="AR8">
        <f t="shared" si="13"/>
        <v>1.1863281849550629</v>
      </c>
      <c r="AS8">
        <v>0.73098459999891896</v>
      </c>
      <c r="AT8">
        <v>0</v>
      </c>
      <c r="AU8">
        <f t="shared" si="14"/>
        <v>0</v>
      </c>
      <c r="AV8">
        <v>36472.3397565716</v>
      </c>
      <c r="AW8">
        <f t="shared" si="15"/>
        <v>1.1909223877163959</v>
      </c>
      <c r="AX8">
        <v>0.32783019999624202</v>
      </c>
      <c r="AY8" t="str">
        <f>IF(AL8=MIN(AL8,AQ8,AV8),"Simulated Annealing",IF(AQ8=MIN(AL8,AQ8,AV8),"Ant Colony Optimization","Genetic Algorithm"))</f>
        <v>Simulated Annealing</v>
      </c>
      <c r="AZ8">
        <f>MIN(AL8,AQ8,AV8)</f>
        <v>34519.256375058998</v>
      </c>
      <c r="BA8">
        <f>AZ8/F8</f>
        <v>1.1271488338494247</v>
      </c>
      <c r="BB8">
        <v>34059.435647600003</v>
      </c>
      <c r="BC8">
        <f>BB8/F8</f>
        <v>1.112134420123245</v>
      </c>
      <c r="BD8">
        <v>0.27200000000000002</v>
      </c>
      <c r="BE8">
        <v>5</v>
      </c>
      <c r="BF8">
        <v>5.048</v>
      </c>
    </row>
    <row r="9" spans="1:58" x14ac:dyDescent="0.3">
      <c r="A9">
        <v>8</v>
      </c>
      <c r="B9">
        <v>80</v>
      </c>
      <c r="C9">
        <v>2.0324959572923298</v>
      </c>
      <c r="D9">
        <v>18.284202104931499</v>
      </c>
      <c r="E9">
        <f t="shared" si="0"/>
        <v>4.2760030524932393</v>
      </c>
      <c r="F9">
        <v>31821.588540682798</v>
      </c>
      <c r="G9">
        <v>5.3099800017662298E-2</v>
      </c>
      <c r="H9">
        <v>40820.333323589301</v>
      </c>
      <c r="I9">
        <f t="shared" si="1"/>
        <v>1.2827874155748673</v>
      </c>
      <c r="J9">
        <v>2.74553999915951E-2</v>
      </c>
      <c r="K9">
        <v>32165.214205067601</v>
      </c>
      <c r="L9" t="s">
        <v>44</v>
      </c>
      <c r="M9">
        <v>0</v>
      </c>
      <c r="N9">
        <v>35</v>
      </c>
      <c r="O9">
        <f t="shared" si="2"/>
        <v>0.45</v>
      </c>
      <c r="P9">
        <v>45091.109020716598</v>
      </c>
      <c r="Q9">
        <f t="shared" si="3"/>
        <v>1.416997424973589</v>
      </c>
      <c r="R9">
        <v>5.3099800017662298E-2</v>
      </c>
      <c r="S9">
        <v>18</v>
      </c>
      <c r="T9">
        <f t="shared" si="4"/>
        <v>0.23749999999999999</v>
      </c>
      <c r="U9">
        <v>39915.107449336399</v>
      </c>
      <c r="V9">
        <f t="shared" si="5"/>
        <v>1.2543405052926984</v>
      </c>
      <c r="W9">
        <v>1.46187000209465E-2</v>
      </c>
      <c r="X9" t="str">
        <f>IF(H9=MIN(H9,P9,U9),"Christofides",IF(P9=MIN(H9,P9,U9),"Arithmetic Series","Nearest Neighbor"))</f>
        <v>Nearest Neighbor</v>
      </c>
      <c r="Y9">
        <f t="shared" si="6"/>
        <v>39915.107449336399</v>
      </c>
      <c r="Z9">
        <f t="shared" si="7"/>
        <v>1.2543405052926984</v>
      </c>
      <c r="AA9">
        <v>3380</v>
      </c>
      <c r="AB9">
        <v>4113</v>
      </c>
      <c r="AC9">
        <f t="shared" si="8"/>
        <v>0.8217845854607343</v>
      </c>
      <c r="AD9">
        <v>0</v>
      </c>
      <c r="AE9">
        <v>39915.107449336399</v>
      </c>
      <c r="AF9">
        <v>74</v>
      </c>
      <c r="AG9">
        <f t="shared" si="9"/>
        <v>1.799173352783856E-2</v>
      </c>
      <c r="AH9" s="1">
        <v>2.18278728425502E-11</v>
      </c>
      <c r="AI9" s="4">
        <v>38053.378911819796</v>
      </c>
      <c r="AJ9" s="4">
        <v>2875</v>
      </c>
      <c r="AK9" s="4">
        <f t="shared" si="10"/>
        <v>0.69900316070994406</v>
      </c>
      <c r="AL9">
        <v>37575.727513099897</v>
      </c>
      <c r="AM9">
        <f t="shared" si="11"/>
        <v>1.1808250070564714</v>
      </c>
      <c r="AN9">
        <v>0.14303249999647899</v>
      </c>
      <c r="AO9">
        <v>4</v>
      </c>
      <c r="AP9">
        <f t="shared" si="12"/>
        <v>0.4</v>
      </c>
      <c r="AQ9">
        <v>39697.634537001897</v>
      </c>
      <c r="AR9">
        <f t="shared" si="13"/>
        <v>1.2475063740532577</v>
      </c>
      <c r="AS9">
        <v>0.97049870000046201</v>
      </c>
      <c r="AT9">
        <v>53</v>
      </c>
      <c r="AU9">
        <f t="shared" si="14"/>
        <v>0.53</v>
      </c>
      <c r="AV9">
        <v>39576.6051172558</v>
      </c>
      <c r="AW9">
        <f t="shared" si="15"/>
        <v>1.2437029995111175</v>
      </c>
      <c r="AX9">
        <v>0.42935649999708397</v>
      </c>
      <c r="AY9" t="str">
        <f>IF(AL9=MIN(AL9,AQ9,AV9),"Simulated Annealing",IF(AQ9=MIN(AL9,AQ9,AV9),"Ant Colony Optimization","Genetic Algorithm"))</f>
        <v>Simulated Annealing</v>
      </c>
      <c r="AZ9">
        <f>MIN(AL9,AQ9,AV9)</f>
        <v>37575.727513099897</v>
      </c>
      <c r="BA9">
        <f>AZ9/F9</f>
        <v>1.1808250070564714</v>
      </c>
      <c r="BB9">
        <v>35838.592881009397</v>
      </c>
      <c r="BC9">
        <f>BB9/F9</f>
        <v>1.126235192036092</v>
      </c>
      <c r="BD9">
        <v>0.24</v>
      </c>
      <c r="BE9">
        <v>5</v>
      </c>
      <c r="BF9">
        <v>5</v>
      </c>
    </row>
    <row r="10" spans="1:58" x14ac:dyDescent="0.3">
      <c r="A10">
        <v>9</v>
      </c>
      <c r="B10">
        <v>90</v>
      </c>
      <c r="C10">
        <v>1.61578774720246</v>
      </c>
      <c r="D10">
        <v>27.695229519224</v>
      </c>
      <c r="E10">
        <f t="shared" si="0"/>
        <v>5.2626257247902402</v>
      </c>
      <c r="F10">
        <v>34140.231727632599</v>
      </c>
      <c r="G10">
        <v>7.2711699991486897E-2</v>
      </c>
      <c r="H10">
        <v>42618.199830689402</v>
      </c>
      <c r="I10">
        <f t="shared" si="1"/>
        <v>1.2483277843774816</v>
      </c>
      <c r="J10">
        <v>3.4790500008966697E-2</v>
      </c>
      <c r="K10">
        <v>42141.542813441803</v>
      </c>
      <c r="L10" t="s">
        <v>44</v>
      </c>
      <c r="M10" t="s">
        <v>37</v>
      </c>
      <c r="N10">
        <v>19</v>
      </c>
      <c r="O10">
        <f t="shared" si="2"/>
        <v>0.22222222222222221</v>
      </c>
      <c r="P10">
        <v>52281.639374649101</v>
      </c>
      <c r="Q10">
        <f t="shared" si="3"/>
        <v>1.5313791596889812</v>
      </c>
      <c r="R10">
        <v>7.2711699991486897E-2</v>
      </c>
      <c r="S10">
        <v>55</v>
      </c>
      <c r="T10">
        <f t="shared" si="4"/>
        <v>0.62222222222222223</v>
      </c>
      <c r="U10">
        <v>46279.979704586498</v>
      </c>
      <c r="V10">
        <f t="shared" si="5"/>
        <v>1.3555848148250313</v>
      </c>
      <c r="W10">
        <v>2.0903900032863E-2</v>
      </c>
      <c r="X10" t="str">
        <f>IF(H10=MIN(H10,P10,U10),"Christofides",IF(P10=MIN(H10,P10,U10),"Arithmetic Series","Nearest Neighbor"))</f>
        <v>Christofides</v>
      </c>
      <c r="Y10">
        <f t="shared" si="6"/>
        <v>42618.199830689402</v>
      </c>
      <c r="Z10">
        <f t="shared" si="7"/>
        <v>1.2483277843774816</v>
      </c>
      <c r="AA10">
        <v>3884</v>
      </c>
      <c r="AB10">
        <v>4124</v>
      </c>
      <c r="AC10">
        <f t="shared" si="8"/>
        <v>0.94180407371483998</v>
      </c>
      <c r="AD10">
        <v>0</v>
      </c>
      <c r="AE10">
        <v>42558.557990470203</v>
      </c>
      <c r="AF10">
        <v>186</v>
      </c>
      <c r="AG10">
        <f t="shared" si="9"/>
        <v>4.5101842870999033E-2</v>
      </c>
      <c r="AH10" s="1">
        <v>2.18278728425502E-11</v>
      </c>
      <c r="AI10" s="4">
        <v>42558.557990470203</v>
      </c>
      <c r="AJ10" s="4">
        <v>186</v>
      </c>
      <c r="AK10" s="4">
        <f t="shared" si="10"/>
        <v>4.5101842870999033E-2</v>
      </c>
      <c r="AL10">
        <v>41589.812804029301</v>
      </c>
      <c r="AM10">
        <f t="shared" si="11"/>
        <v>1.2182053459926319</v>
      </c>
      <c r="AN10">
        <v>0.162770400012959</v>
      </c>
      <c r="AO10">
        <v>0</v>
      </c>
      <c r="AP10">
        <f t="shared" si="12"/>
        <v>0</v>
      </c>
      <c r="AQ10">
        <v>42618.199830689402</v>
      </c>
      <c r="AR10">
        <f t="shared" si="13"/>
        <v>1.2483277843774816</v>
      </c>
      <c r="AS10">
        <v>1.2554229999950599</v>
      </c>
      <c r="AT10">
        <v>87</v>
      </c>
      <c r="AU10">
        <f t="shared" si="14"/>
        <v>0.87</v>
      </c>
      <c r="AV10">
        <v>42279.609338600501</v>
      </c>
      <c r="AW10">
        <f t="shared" si="15"/>
        <v>1.238410145423237</v>
      </c>
      <c r="AX10">
        <v>0.60611060001247097</v>
      </c>
      <c r="AY10" t="str">
        <f>IF(AL10=MIN(AL10,AQ10,AV10),"Simulated Annealing",IF(AQ10=MIN(AL10,AQ10,AV10),"Ant Colony Optimization","Genetic Algorithm"))</f>
        <v>Simulated Annealing</v>
      </c>
      <c r="AZ10">
        <f>MIN(AL10,AQ10,AV10)</f>
        <v>41589.812804029301</v>
      </c>
      <c r="BA10">
        <f>AZ10/F10</f>
        <v>1.2182053459926319</v>
      </c>
      <c r="BB10">
        <v>37834.424067265099</v>
      </c>
      <c r="BC10">
        <f>BB10/F10</f>
        <v>1.1082064225311767</v>
      </c>
      <c r="BD10">
        <v>0.223</v>
      </c>
      <c r="BE10">
        <v>5</v>
      </c>
      <c r="BF10">
        <v>5.0270000000000001</v>
      </c>
    </row>
    <row r="11" spans="1:58" x14ac:dyDescent="0.3">
      <c r="A11">
        <v>10</v>
      </c>
      <c r="B11">
        <v>100</v>
      </c>
      <c r="C11">
        <v>1.3313734299559199</v>
      </c>
      <c r="D11">
        <v>19.934591581654299</v>
      </c>
      <c r="E11">
        <f t="shared" si="0"/>
        <v>4.4648170826646751</v>
      </c>
      <c r="F11">
        <v>35514.345261417198</v>
      </c>
      <c r="G11">
        <v>0.100902600097469</v>
      </c>
      <c r="H11">
        <v>45045.639394083999</v>
      </c>
      <c r="I11">
        <f t="shared" si="1"/>
        <v>1.2683787090120342</v>
      </c>
      <c r="J11">
        <v>4.3464799993671401E-2</v>
      </c>
      <c r="K11">
        <v>53599.372198927304</v>
      </c>
      <c r="L11" t="s">
        <v>44</v>
      </c>
      <c r="M11">
        <v>1</v>
      </c>
      <c r="N11">
        <v>30</v>
      </c>
      <c r="O11">
        <f t="shared" si="2"/>
        <v>0.31</v>
      </c>
      <c r="P11">
        <v>50917.8409904484</v>
      </c>
      <c r="Q11">
        <f t="shared" si="3"/>
        <v>1.4337260229816362</v>
      </c>
      <c r="R11">
        <v>0.100902600097469</v>
      </c>
      <c r="S11">
        <v>32</v>
      </c>
      <c r="T11">
        <f t="shared" si="4"/>
        <v>0.33</v>
      </c>
      <c r="U11">
        <v>47210.442867076497</v>
      </c>
      <c r="V11">
        <f t="shared" si="5"/>
        <v>1.329334456810779</v>
      </c>
      <c r="W11">
        <v>2.6972600026056101E-2</v>
      </c>
      <c r="X11" t="str">
        <f>IF(H11=MIN(H11,P11,U11),"Christofides",IF(P11=MIN(H11,P11,U11),"Arithmetic Series","Nearest Neighbor"))</f>
        <v>Christofides</v>
      </c>
      <c r="Y11">
        <f t="shared" si="6"/>
        <v>45045.639394083999</v>
      </c>
      <c r="Z11">
        <f t="shared" si="7"/>
        <v>1.2683787090120342</v>
      </c>
      <c r="AA11">
        <v>4118</v>
      </c>
      <c r="AB11">
        <v>4135</v>
      </c>
      <c r="AC11">
        <f t="shared" si="8"/>
        <v>0.99588875453446191</v>
      </c>
      <c r="AD11">
        <v>0</v>
      </c>
      <c r="AE11">
        <v>45045.639394083999</v>
      </c>
      <c r="AF11">
        <v>17</v>
      </c>
      <c r="AG11">
        <f t="shared" si="9"/>
        <v>4.1112454655380893E-3</v>
      </c>
      <c r="AH11" s="1">
        <v>4.3655745685100497E-11</v>
      </c>
      <c r="AI11" s="4">
        <v>45045.639394083999</v>
      </c>
      <c r="AJ11" s="4">
        <v>502</v>
      </c>
      <c r="AK11" s="4">
        <f t="shared" si="10"/>
        <v>0.12140266021765417</v>
      </c>
      <c r="AL11">
        <v>44331.050312829298</v>
      </c>
      <c r="AM11">
        <f t="shared" si="11"/>
        <v>1.2482575699062817</v>
      </c>
      <c r="AN11">
        <v>0.171052499994402</v>
      </c>
      <c r="AO11">
        <v>3</v>
      </c>
      <c r="AP11">
        <f t="shared" si="12"/>
        <v>0.3</v>
      </c>
      <c r="AQ11">
        <v>43504.507181900502</v>
      </c>
      <c r="AR11">
        <f t="shared" si="13"/>
        <v>1.2249840694420409</v>
      </c>
      <c r="AS11">
        <v>1.55658809999295</v>
      </c>
      <c r="AT11">
        <v>65</v>
      </c>
      <c r="AU11">
        <f t="shared" si="14"/>
        <v>0.65</v>
      </c>
      <c r="AV11">
        <v>44848.100423471202</v>
      </c>
      <c r="AW11">
        <f t="shared" si="15"/>
        <v>1.2628164786186893</v>
      </c>
      <c r="AX11">
        <v>0.76685020000149895</v>
      </c>
      <c r="AY11" t="str">
        <f>IF(AL11=MIN(AL11,AQ11,AV11),"Simulated Annealing",IF(AQ11=MIN(AL11,AQ11,AV11),"Ant Colony Optimization","Genetic Algorithm"))</f>
        <v>Ant Colony Optimization</v>
      </c>
      <c r="AZ11">
        <f>MIN(AL11,AQ11,AV11)</f>
        <v>43504.507181900502</v>
      </c>
      <c r="BA11">
        <f>AZ11/F11</f>
        <v>1.2249840694420409</v>
      </c>
      <c r="BB11">
        <v>40068.565691405202</v>
      </c>
      <c r="BC11">
        <f>BB11/F11</f>
        <v>1.1282360802786842</v>
      </c>
      <c r="BD11">
        <v>0.17499999999999999</v>
      </c>
      <c r="BE11">
        <v>5</v>
      </c>
      <c r="BF11">
        <v>5.0010000000000003</v>
      </c>
    </row>
    <row r="12" spans="1:58" x14ac:dyDescent="0.3">
      <c r="A12">
        <v>11</v>
      </c>
      <c r="B12">
        <v>110</v>
      </c>
      <c r="C12">
        <v>1.06467897582627</v>
      </c>
      <c r="D12">
        <v>12.538019092424101</v>
      </c>
      <c r="E12">
        <f t="shared" si="0"/>
        <v>3.5409065353979763</v>
      </c>
      <c r="F12">
        <v>36939.175138871302</v>
      </c>
      <c r="G12">
        <v>0.13241829990874901</v>
      </c>
      <c r="H12">
        <v>47656.123290328796</v>
      </c>
      <c r="I12">
        <f t="shared" si="1"/>
        <v>1.2901241868874325</v>
      </c>
      <c r="J12">
        <v>5.3708100007497699E-2</v>
      </c>
      <c r="K12">
        <v>66573.705962462598</v>
      </c>
      <c r="L12" t="s">
        <v>44</v>
      </c>
      <c r="M12">
        <v>0</v>
      </c>
      <c r="N12">
        <v>93</v>
      </c>
      <c r="O12">
        <f t="shared" si="2"/>
        <v>0.8545454545454545</v>
      </c>
      <c r="P12">
        <v>49424.703103154403</v>
      </c>
      <c r="Q12">
        <f t="shared" si="3"/>
        <v>1.3380023489248007</v>
      </c>
      <c r="R12">
        <v>0.13241829990874901</v>
      </c>
      <c r="S12">
        <v>39</v>
      </c>
      <c r="T12">
        <f t="shared" si="4"/>
        <v>0.36363636363636365</v>
      </c>
      <c r="U12">
        <v>46541.881838683497</v>
      </c>
      <c r="V12">
        <f t="shared" si="5"/>
        <v>1.2599599656384102</v>
      </c>
      <c r="W12">
        <v>4.04762000543996E-2</v>
      </c>
      <c r="X12" t="str">
        <f>IF(H12=MIN(H12,P12,U12),"Christofides",IF(P12=MIN(H12,P12,U12),"Arithmetic Series","Nearest Neighbor"))</f>
        <v>Nearest Neighbor</v>
      </c>
      <c r="Y12">
        <f t="shared" si="6"/>
        <v>46541.881838683497</v>
      </c>
      <c r="Z12">
        <f t="shared" si="7"/>
        <v>1.2599599656384102</v>
      </c>
      <c r="AA12">
        <v>3484</v>
      </c>
      <c r="AB12">
        <v>4144</v>
      </c>
      <c r="AC12">
        <f t="shared" si="8"/>
        <v>0.84073359073359077</v>
      </c>
      <c r="AD12">
        <v>0</v>
      </c>
      <c r="AE12">
        <v>46541.881838683497</v>
      </c>
      <c r="AF12">
        <v>104</v>
      </c>
      <c r="AG12">
        <f t="shared" si="9"/>
        <v>2.5096525096525095E-2</v>
      </c>
      <c r="AH12" s="1">
        <v>2.91038304567337E-11</v>
      </c>
      <c r="AI12" s="4">
        <v>45403.182453177098</v>
      </c>
      <c r="AJ12" s="4">
        <v>2943</v>
      </c>
      <c r="AK12" s="4">
        <f t="shared" si="10"/>
        <v>0.71018339768339767</v>
      </c>
      <c r="AL12">
        <v>45380.291783371198</v>
      </c>
      <c r="AM12">
        <f t="shared" si="11"/>
        <v>1.2285139452293092</v>
      </c>
      <c r="AN12">
        <v>0.19713659999251801</v>
      </c>
      <c r="AO12">
        <v>9</v>
      </c>
      <c r="AP12">
        <f t="shared" si="12"/>
        <v>0.9</v>
      </c>
      <c r="AQ12">
        <v>44755.301357366603</v>
      </c>
      <c r="AR12">
        <f t="shared" si="13"/>
        <v>1.2115944979580864</v>
      </c>
      <c r="AS12">
        <v>2.00752690000808</v>
      </c>
      <c r="AT12">
        <v>0</v>
      </c>
      <c r="AU12">
        <f t="shared" si="14"/>
        <v>0</v>
      </c>
      <c r="AV12">
        <v>46541.881838683497</v>
      </c>
      <c r="AW12">
        <f t="shared" si="15"/>
        <v>1.2599599656384102</v>
      </c>
      <c r="AX12">
        <v>1.08295929999439</v>
      </c>
      <c r="AY12" t="str">
        <f>IF(AL12=MIN(AL12,AQ12,AV12),"Simulated Annealing",IF(AQ12=MIN(AL12,AQ12,AV12),"Ant Colony Optimization","Genetic Algorithm"))</f>
        <v>Ant Colony Optimization</v>
      </c>
      <c r="AZ12">
        <f>MIN(AL12,AQ12,AV12)</f>
        <v>44755.301357366603</v>
      </c>
      <c r="BA12">
        <f>AZ12/F12</f>
        <v>1.2115944979580864</v>
      </c>
      <c r="BB12">
        <v>41621.418265619002</v>
      </c>
      <c r="BC12">
        <f>BB12/F12</f>
        <v>1.1267554868008016</v>
      </c>
      <c r="BD12">
        <v>0.16</v>
      </c>
      <c r="BE12">
        <v>5</v>
      </c>
      <c r="BF12">
        <v>5.0199999999999996</v>
      </c>
    </row>
    <row r="13" spans="1:58" x14ac:dyDescent="0.3">
      <c r="A13">
        <v>12</v>
      </c>
      <c r="B13">
        <v>120</v>
      </c>
      <c r="C13">
        <v>0.89935032998877795</v>
      </c>
      <c r="D13">
        <v>16.408841541533899</v>
      </c>
      <c r="E13">
        <f t="shared" si="0"/>
        <v>4.0507828307049367</v>
      </c>
      <c r="F13">
        <v>37256.610550453901</v>
      </c>
      <c r="G13">
        <v>0.165121000027284</v>
      </c>
      <c r="H13">
        <v>47436.537253874703</v>
      </c>
      <c r="I13">
        <f t="shared" si="1"/>
        <v>1.2732381328579225</v>
      </c>
      <c r="J13">
        <v>6.8778900007600896E-2</v>
      </c>
      <c r="K13">
        <v>81090.5659817915</v>
      </c>
      <c r="L13" t="s">
        <v>44</v>
      </c>
      <c r="M13">
        <v>0</v>
      </c>
      <c r="N13">
        <v>106</v>
      </c>
      <c r="O13">
        <f t="shared" si="2"/>
        <v>0.89166666666666672</v>
      </c>
      <c r="P13">
        <v>47171.2640070743</v>
      </c>
      <c r="Q13">
        <f t="shared" si="3"/>
        <v>1.2661179669898772</v>
      </c>
      <c r="R13">
        <v>0.165121000027284</v>
      </c>
      <c r="S13">
        <v>29</v>
      </c>
      <c r="T13">
        <f t="shared" si="4"/>
        <v>0.25</v>
      </c>
      <c r="U13">
        <v>46365.0228135129</v>
      </c>
      <c r="V13">
        <f t="shared" si="5"/>
        <v>1.2444777484716207</v>
      </c>
      <c r="W13">
        <v>4.5197900035418501E-2</v>
      </c>
      <c r="X13" t="str">
        <f>IF(H13=MIN(H13,P13,U13),"Christofides",IF(P13=MIN(H13,P13,U13),"Arithmetic Series","Nearest Neighbor"))</f>
        <v>Nearest Neighbor</v>
      </c>
      <c r="Y13">
        <f t="shared" si="6"/>
        <v>46365.0228135129</v>
      </c>
      <c r="Z13">
        <f t="shared" si="7"/>
        <v>1.2444777484716207</v>
      </c>
      <c r="AA13">
        <v>4088</v>
      </c>
      <c r="AB13">
        <v>4153</v>
      </c>
      <c r="AC13">
        <f t="shared" si="8"/>
        <v>0.98434866361666262</v>
      </c>
      <c r="AD13">
        <v>0</v>
      </c>
      <c r="AE13">
        <v>46365.0228135129</v>
      </c>
      <c r="AF13">
        <v>173</v>
      </c>
      <c r="AG13">
        <f t="shared" si="9"/>
        <v>4.1656633758728627E-2</v>
      </c>
      <c r="AH13" s="1">
        <v>4.3655745685100497E-11</v>
      </c>
      <c r="AI13" s="4">
        <v>45750.005230547402</v>
      </c>
      <c r="AJ13" s="4">
        <v>2772</v>
      </c>
      <c r="AK13" s="4">
        <f t="shared" si="10"/>
        <v>0.66746929930170962</v>
      </c>
      <c r="AL13">
        <v>45323.635183666898</v>
      </c>
      <c r="AM13">
        <f t="shared" si="11"/>
        <v>1.216525994018925</v>
      </c>
      <c r="AN13">
        <v>0.20759510000061701</v>
      </c>
      <c r="AO13">
        <v>0</v>
      </c>
      <c r="AP13">
        <f t="shared" si="12"/>
        <v>0</v>
      </c>
      <c r="AQ13">
        <v>46365.0228135129</v>
      </c>
      <c r="AR13">
        <f t="shared" si="13"/>
        <v>1.2444777484716207</v>
      </c>
      <c r="AS13">
        <v>2.3583690000086701</v>
      </c>
      <c r="AT13">
        <v>74</v>
      </c>
      <c r="AU13">
        <f t="shared" si="14"/>
        <v>0.74</v>
      </c>
      <c r="AV13">
        <v>46292.568731146697</v>
      </c>
      <c r="AW13">
        <f t="shared" si="15"/>
        <v>1.2425330175555305</v>
      </c>
      <c r="AX13">
        <v>1.31356580001011</v>
      </c>
      <c r="AY13" t="str">
        <f>IF(AL13=MIN(AL13,AQ13,AV13),"Simulated Annealing",IF(AQ13=MIN(AL13,AQ13,AV13),"Ant Colony Optimization","Genetic Algorithm"))</f>
        <v>Simulated Annealing</v>
      </c>
      <c r="AZ13">
        <f>MIN(AL13,AQ13,AV13)</f>
        <v>45323.635183666898</v>
      </c>
      <c r="BA13">
        <f>AZ13/F13</f>
        <v>1.216525994018925</v>
      </c>
      <c r="BB13">
        <v>42236.889791626003</v>
      </c>
      <c r="BC13">
        <f>BB13/F13</f>
        <v>1.1336750490071466</v>
      </c>
      <c r="BD13">
        <v>0.128</v>
      </c>
      <c r="BE13">
        <v>5</v>
      </c>
      <c r="BF13">
        <v>5</v>
      </c>
    </row>
    <row r="14" spans="1:58" x14ac:dyDescent="0.3">
      <c r="A14">
        <v>13</v>
      </c>
      <c r="B14">
        <v>130</v>
      </c>
      <c r="C14">
        <v>0.757688759446423</v>
      </c>
      <c r="D14">
        <v>4.7928656419847702</v>
      </c>
      <c r="E14">
        <f t="shared" si="0"/>
        <v>2.1892614375594275</v>
      </c>
      <c r="F14">
        <v>37364.279392074102</v>
      </c>
      <c r="G14">
        <v>0.22577689995523501</v>
      </c>
      <c r="H14">
        <v>46652.393946620999</v>
      </c>
      <c r="I14">
        <f t="shared" si="1"/>
        <v>1.2485827294321414</v>
      </c>
      <c r="J14">
        <v>7.2566600007121396E-2</v>
      </c>
      <c r="K14">
        <v>97177.847528071405</v>
      </c>
      <c r="L14" t="s">
        <v>44</v>
      </c>
      <c r="M14" t="s">
        <v>37</v>
      </c>
      <c r="N14">
        <v>87</v>
      </c>
      <c r="O14">
        <f t="shared" si="2"/>
        <v>0.67692307692307696</v>
      </c>
      <c r="P14">
        <v>51425.069446815898</v>
      </c>
      <c r="Q14">
        <f t="shared" si="3"/>
        <v>1.3763163717731015</v>
      </c>
      <c r="R14">
        <v>0.22577689995523501</v>
      </c>
      <c r="S14">
        <v>26</v>
      </c>
      <c r="T14">
        <f t="shared" si="4"/>
        <v>0.2076923076923077</v>
      </c>
      <c r="U14">
        <v>44369.907245940398</v>
      </c>
      <c r="V14">
        <f t="shared" si="5"/>
        <v>1.1874953289036898</v>
      </c>
      <c r="W14">
        <v>5.5231599952094201E-2</v>
      </c>
      <c r="X14" t="str">
        <f>IF(H14=MIN(H14,P14,U14),"Christofides",IF(P14=MIN(H14,P14,U14),"Arithmetic Series","Nearest Neighbor"))</f>
        <v>Nearest Neighbor</v>
      </c>
      <c r="Y14">
        <f t="shared" si="6"/>
        <v>44369.907245940398</v>
      </c>
      <c r="Z14">
        <f t="shared" si="7"/>
        <v>1.1874953289036898</v>
      </c>
      <c r="AA14">
        <v>3856</v>
      </c>
      <c r="AB14">
        <v>4161</v>
      </c>
      <c r="AC14">
        <f t="shared" si="8"/>
        <v>0.92670031242489781</v>
      </c>
      <c r="AD14">
        <v>0</v>
      </c>
      <c r="AE14">
        <v>44369.907245940398</v>
      </c>
      <c r="AF14">
        <v>59</v>
      </c>
      <c r="AG14">
        <f t="shared" si="9"/>
        <v>1.4179283826003364E-2</v>
      </c>
      <c r="AH14" s="1">
        <v>1.45519152283668E-11</v>
      </c>
      <c r="AI14" s="4">
        <v>43735.783755110802</v>
      </c>
      <c r="AJ14" s="4">
        <v>1454</v>
      </c>
      <c r="AK14" s="4">
        <f t="shared" si="10"/>
        <v>0.34943523191540493</v>
      </c>
      <c r="AL14">
        <v>43441.706766285701</v>
      </c>
      <c r="AM14">
        <f t="shared" si="11"/>
        <v>1.1626534078294246</v>
      </c>
      <c r="AN14">
        <v>0.215943599992897</v>
      </c>
      <c r="AO14">
        <v>0</v>
      </c>
      <c r="AP14">
        <f t="shared" si="12"/>
        <v>0</v>
      </c>
      <c r="AQ14">
        <v>44369.907245940398</v>
      </c>
      <c r="AR14">
        <f t="shared" si="13"/>
        <v>1.1874953289036898</v>
      </c>
      <c r="AS14">
        <v>2.81775840000773</v>
      </c>
      <c r="AT14">
        <v>0</v>
      </c>
      <c r="AU14">
        <f t="shared" si="14"/>
        <v>0</v>
      </c>
      <c r="AV14">
        <v>44369.907245940398</v>
      </c>
      <c r="AW14">
        <f t="shared" si="15"/>
        <v>1.1874953289036898</v>
      </c>
      <c r="AX14">
        <v>1.5359751999931099</v>
      </c>
      <c r="AY14" t="str">
        <f>IF(AL14=MIN(AL14,AQ14,AV14),"Simulated Annealing",IF(AQ14=MIN(AL14,AQ14,AV14),"Ant Colony Optimization","Genetic Algorithm"))</f>
        <v>Simulated Annealing</v>
      </c>
      <c r="AZ14">
        <f>MIN(AL14,AQ14,AV14)</f>
        <v>43441.706766285701</v>
      </c>
      <c r="BA14">
        <f>AZ14/F14</f>
        <v>1.1626534078294246</v>
      </c>
      <c r="BB14">
        <v>42491.011983513097</v>
      </c>
      <c r="BC14">
        <f>BB14/F14</f>
        <v>1.1372094598063225</v>
      </c>
      <c r="BD14">
        <v>9.6000000000000002E-2</v>
      </c>
      <c r="BE14">
        <v>5</v>
      </c>
      <c r="BF14">
        <v>5.0199999999999996</v>
      </c>
    </row>
    <row r="15" spans="1:58" x14ac:dyDescent="0.3">
      <c r="A15">
        <v>14</v>
      </c>
      <c r="B15">
        <v>140</v>
      </c>
      <c r="C15">
        <v>0.62970947459343996</v>
      </c>
      <c r="D15">
        <v>3.5862453447043001</v>
      </c>
      <c r="E15">
        <f t="shared" si="0"/>
        <v>1.8937384573124929</v>
      </c>
      <c r="F15">
        <v>39680.260862093703</v>
      </c>
      <c r="G15">
        <v>0.27426830003969299</v>
      </c>
      <c r="H15">
        <v>49839.029516821</v>
      </c>
      <c r="I15">
        <f t="shared" si="1"/>
        <v>1.2560156721255809</v>
      </c>
      <c r="J15">
        <v>8.1652500011841697E-2</v>
      </c>
      <c r="K15">
        <v>114853.49937106</v>
      </c>
      <c r="L15" t="s">
        <v>44</v>
      </c>
      <c r="M15">
        <v>1</v>
      </c>
      <c r="N15">
        <v>77</v>
      </c>
      <c r="O15">
        <f t="shared" si="2"/>
        <v>0.55714285714285716</v>
      </c>
      <c r="P15">
        <v>56423.213115753701</v>
      </c>
      <c r="Q15">
        <f t="shared" si="3"/>
        <v>1.4219466276154054</v>
      </c>
      <c r="R15">
        <v>0.27426830003969299</v>
      </c>
      <c r="S15">
        <v>100</v>
      </c>
      <c r="T15">
        <f t="shared" si="4"/>
        <v>0.72142857142857142</v>
      </c>
      <c r="U15">
        <v>54822.720334265097</v>
      </c>
      <c r="V15">
        <f t="shared" si="5"/>
        <v>1.3816118932483352</v>
      </c>
      <c r="W15">
        <v>7.3655099957250003E-2</v>
      </c>
      <c r="X15" t="str">
        <f>IF(H15=MIN(H15,P15,U15),"Christofides",IF(P15=MIN(H15,P15,U15),"Arithmetic Series","Nearest Neighbor"))</f>
        <v>Christofides</v>
      </c>
      <c r="Y15">
        <f t="shared" si="6"/>
        <v>49839.029516821</v>
      </c>
      <c r="Z15">
        <f t="shared" si="7"/>
        <v>1.2560156721255809</v>
      </c>
      <c r="AA15">
        <v>4120</v>
      </c>
      <c r="AB15">
        <v>4168</v>
      </c>
      <c r="AC15">
        <f t="shared" si="8"/>
        <v>0.98848368522072938</v>
      </c>
      <c r="AD15">
        <v>0</v>
      </c>
      <c r="AE15">
        <v>49263.873494396299</v>
      </c>
      <c r="AF15">
        <v>189</v>
      </c>
      <c r="AG15">
        <f t="shared" si="9"/>
        <v>4.5345489443378122E-2</v>
      </c>
      <c r="AH15" s="1">
        <v>3.6379788070917097E-11</v>
      </c>
      <c r="AI15" s="4">
        <v>49256.859824814703</v>
      </c>
      <c r="AJ15" s="4">
        <v>541</v>
      </c>
      <c r="AK15" s="4">
        <f t="shared" si="10"/>
        <v>0.12979846449136276</v>
      </c>
      <c r="AL15">
        <v>48784.098584503903</v>
      </c>
      <c r="AM15">
        <f t="shared" si="11"/>
        <v>1.2294298859085133</v>
      </c>
      <c r="AN15">
        <v>0.24821050000900799</v>
      </c>
      <c r="AO15">
        <v>0</v>
      </c>
      <c r="AP15">
        <f t="shared" si="12"/>
        <v>0</v>
      </c>
      <c r="AQ15">
        <v>49839.029516821</v>
      </c>
      <c r="AR15">
        <f t="shared" si="13"/>
        <v>1.2560156721255809</v>
      </c>
      <c r="AS15">
        <v>3.3911866000125799</v>
      </c>
      <c r="AT15">
        <v>28</v>
      </c>
      <c r="AU15">
        <f t="shared" si="14"/>
        <v>0.28000000000000003</v>
      </c>
      <c r="AV15">
        <v>49685.8128281678</v>
      </c>
      <c r="AW15">
        <f t="shared" si="15"/>
        <v>1.2521543898324605</v>
      </c>
      <c r="AX15">
        <v>1.91574430000036</v>
      </c>
      <c r="AY15" t="str">
        <f>IF(AL15=MIN(AL15,AQ15,AV15),"Simulated Annealing",IF(AQ15=MIN(AL15,AQ15,AV15),"Ant Colony Optimization","Genetic Algorithm"))</f>
        <v>Simulated Annealing</v>
      </c>
      <c r="AZ15">
        <f>MIN(AL15,AQ15,AV15)</f>
        <v>48784.098584503903</v>
      </c>
      <c r="BA15">
        <f>AZ15/F15</f>
        <v>1.2294298859085133</v>
      </c>
      <c r="BB15">
        <v>46176.423467492197</v>
      </c>
      <c r="BC15">
        <f>BB15/F15</f>
        <v>1.1637126990665587</v>
      </c>
      <c r="BD15">
        <v>9.6000000000000002E-2</v>
      </c>
      <c r="BE15">
        <v>5</v>
      </c>
      <c r="BF15">
        <v>5.0199999999999996</v>
      </c>
    </row>
    <row r="16" spans="1:58" x14ac:dyDescent="0.3">
      <c r="A16">
        <v>15</v>
      </c>
      <c r="B16">
        <v>150</v>
      </c>
      <c r="C16">
        <v>0.58462430372760799</v>
      </c>
      <c r="D16">
        <v>3.7408936245190598</v>
      </c>
      <c r="E16">
        <f t="shared" si="0"/>
        <v>1.9341389879010917</v>
      </c>
      <c r="F16">
        <v>41842.281747237503</v>
      </c>
      <c r="G16">
        <v>0.34099320007953698</v>
      </c>
      <c r="H16">
        <v>52787.657973311398</v>
      </c>
      <c r="I16">
        <f t="shared" si="1"/>
        <v>1.2615865045838837</v>
      </c>
      <c r="J16">
        <v>9.9534799999673795E-2</v>
      </c>
      <c r="K16">
        <v>134143.994387215</v>
      </c>
      <c r="L16" t="s">
        <v>44</v>
      </c>
      <c r="M16">
        <v>0</v>
      </c>
      <c r="N16">
        <v>143</v>
      </c>
      <c r="O16">
        <f t="shared" si="2"/>
        <v>0.96</v>
      </c>
      <c r="P16">
        <v>59891.022361878597</v>
      </c>
      <c r="Q16">
        <f t="shared" si="3"/>
        <v>1.4313517299001675</v>
      </c>
      <c r="R16">
        <v>0.34099320007953698</v>
      </c>
      <c r="S16">
        <v>108</v>
      </c>
      <c r="T16">
        <f t="shared" si="4"/>
        <v>0.72666666666666668</v>
      </c>
      <c r="U16">
        <v>55788.332769741697</v>
      </c>
      <c r="V16">
        <f t="shared" si="5"/>
        <v>1.3333004425224715</v>
      </c>
      <c r="W16">
        <v>8.8688199990428901E-2</v>
      </c>
      <c r="X16" t="str">
        <f>IF(H16=MIN(H16,P16,U16),"Christofides",IF(P16=MIN(H16,P16,U16),"Arithmetic Series","Nearest Neighbor"))</f>
        <v>Christofides</v>
      </c>
      <c r="Y16">
        <f t="shared" si="6"/>
        <v>52787.657973311398</v>
      </c>
      <c r="Z16">
        <f t="shared" si="7"/>
        <v>1.2615865045838837</v>
      </c>
      <c r="AA16">
        <v>3815</v>
      </c>
      <c r="AB16">
        <v>4175</v>
      </c>
      <c r="AC16">
        <f t="shared" si="8"/>
        <v>0.91377245508982041</v>
      </c>
      <c r="AD16">
        <v>0</v>
      </c>
      <c r="AE16">
        <v>52787.657973311398</v>
      </c>
      <c r="AF16">
        <v>158</v>
      </c>
      <c r="AG16">
        <f t="shared" si="9"/>
        <v>3.7844311377245511E-2</v>
      </c>
      <c r="AH16" s="1">
        <v>3.6379788070917097E-11</v>
      </c>
      <c r="AI16" s="4">
        <v>52528.888780542104</v>
      </c>
      <c r="AJ16" s="4">
        <v>1907</v>
      </c>
      <c r="AK16" s="4">
        <f t="shared" si="10"/>
        <v>0.45676646706586826</v>
      </c>
      <c r="AL16">
        <v>52221.314114651999</v>
      </c>
      <c r="AM16">
        <f t="shared" si="11"/>
        <v>1.2480512996426094</v>
      </c>
      <c r="AN16">
        <v>0.27314809999370399</v>
      </c>
      <c r="AO16">
        <v>0</v>
      </c>
      <c r="AP16">
        <f t="shared" si="12"/>
        <v>0</v>
      </c>
      <c r="AQ16">
        <v>52787.657973311398</v>
      </c>
      <c r="AR16">
        <f t="shared" si="13"/>
        <v>1.2615865045838837</v>
      </c>
      <c r="AS16">
        <v>3.9518233999988199</v>
      </c>
      <c r="AT16">
        <v>0</v>
      </c>
      <c r="AU16">
        <f t="shared" si="14"/>
        <v>0</v>
      </c>
      <c r="AV16">
        <v>52787.657973311398</v>
      </c>
      <c r="AW16">
        <f t="shared" si="15"/>
        <v>1.2615865045838837</v>
      </c>
      <c r="AX16">
        <v>2.2603384999965699</v>
      </c>
      <c r="AY16" t="str">
        <f>IF(AL16=MIN(AL16,AQ16,AV16),"Simulated Annealing",IF(AQ16=MIN(AL16,AQ16,AV16),"Ant Colony Optimization","Genetic Algorithm"))</f>
        <v>Simulated Annealing</v>
      </c>
      <c r="AZ16">
        <f>MIN(AL16,AQ16,AV16)</f>
        <v>52221.314114651999</v>
      </c>
      <c r="BA16">
        <f>AZ16/F16</f>
        <v>1.2480512996426094</v>
      </c>
      <c r="BB16">
        <v>47811.173923829199</v>
      </c>
      <c r="BC16">
        <f>BB16/F16</f>
        <v>1.1426521673136474</v>
      </c>
      <c r="BD16">
        <v>0.112</v>
      </c>
      <c r="BE16">
        <v>5</v>
      </c>
      <c r="BF16">
        <v>5.0720000000000001</v>
      </c>
    </row>
    <row r="17" spans="1:58" x14ac:dyDescent="0.3">
      <c r="A17">
        <v>16</v>
      </c>
      <c r="B17">
        <v>160</v>
      </c>
      <c r="C17">
        <v>0.49216574748108299</v>
      </c>
      <c r="D17">
        <v>3.07476787916747</v>
      </c>
      <c r="E17">
        <f t="shared" si="0"/>
        <v>1.7535016051225816</v>
      </c>
      <c r="F17">
        <v>41314.177969677898</v>
      </c>
      <c r="G17">
        <v>0.39447240007575601</v>
      </c>
      <c r="H17">
        <v>52665.745897256602</v>
      </c>
      <c r="I17">
        <f t="shared" si="1"/>
        <v>1.2747620426070214</v>
      </c>
      <c r="J17">
        <v>0.11311730000306799</v>
      </c>
      <c r="K17">
        <v>155064.59235201799</v>
      </c>
      <c r="L17" t="s">
        <v>44</v>
      </c>
      <c r="M17">
        <v>0</v>
      </c>
      <c r="N17">
        <v>22</v>
      </c>
      <c r="O17">
        <f t="shared" si="2"/>
        <v>0.14374999999999999</v>
      </c>
      <c r="P17">
        <v>55537.674349645698</v>
      </c>
      <c r="Q17">
        <f t="shared" si="3"/>
        <v>1.3442763980541252</v>
      </c>
      <c r="R17">
        <v>0.39447240007575601</v>
      </c>
      <c r="S17">
        <v>29</v>
      </c>
      <c r="T17">
        <f t="shared" si="4"/>
        <v>0.1875</v>
      </c>
      <c r="U17">
        <v>51825.776300969897</v>
      </c>
      <c r="V17">
        <f t="shared" si="5"/>
        <v>1.2544307752899471</v>
      </c>
      <c r="W17">
        <v>0.113550000009126</v>
      </c>
      <c r="X17" t="str">
        <f>IF(H17=MIN(H17,P17,U17),"Christofides",IF(P17=MIN(H17,P17,U17),"Arithmetic Series","Nearest Neighbor"))</f>
        <v>Nearest Neighbor</v>
      </c>
      <c r="Y17">
        <f t="shared" si="6"/>
        <v>51825.776300969897</v>
      </c>
      <c r="Z17">
        <f t="shared" si="7"/>
        <v>1.2544307752899471</v>
      </c>
      <c r="AA17">
        <v>3921</v>
      </c>
      <c r="AB17">
        <v>4182</v>
      </c>
      <c r="AC17">
        <f t="shared" si="8"/>
        <v>0.93758967001434723</v>
      </c>
      <c r="AD17">
        <v>0</v>
      </c>
      <c r="AE17">
        <v>51705.304340930001</v>
      </c>
      <c r="AF17">
        <v>129</v>
      </c>
      <c r="AG17">
        <f t="shared" si="9"/>
        <v>3.0846484935437589E-2</v>
      </c>
      <c r="AH17" s="1">
        <v>2.91038304567337E-11</v>
      </c>
      <c r="AI17" s="4">
        <v>51705.304340930001</v>
      </c>
      <c r="AJ17" s="4">
        <v>129</v>
      </c>
      <c r="AK17" s="4">
        <f t="shared" si="10"/>
        <v>3.0846484935437589E-2</v>
      </c>
      <c r="AL17">
        <v>50399.2688191337</v>
      </c>
      <c r="AM17">
        <f t="shared" si="11"/>
        <v>1.2199024958483673</v>
      </c>
      <c r="AN17">
        <v>0.28183259999786903</v>
      </c>
      <c r="AO17">
        <v>0</v>
      </c>
      <c r="AP17">
        <f t="shared" si="12"/>
        <v>0</v>
      </c>
      <c r="AQ17">
        <v>51825.776300969897</v>
      </c>
      <c r="AR17">
        <f t="shared" si="13"/>
        <v>1.2544307752899471</v>
      </c>
      <c r="AS17">
        <v>4.6347234999993798</v>
      </c>
      <c r="AT17">
        <v>58</v>
      </c>
      <c r="AU17">
        <f t="shared" si="14"/>
        <v>0.57999999999999996</v>
      </c>
      <c r="AV17">
        <v>51687.511282612599</v>
      </c>
      <c r="AW17">
        <f t="shared" si="15"/>
        <v>1.2510841029088875</v>
      </c>
      <c r="AX17">
        <v>2.7264736000070098</v>
      </c>
      <c r="AY17" t="str">
        <f>IF(AL17=MIN(AL17,AQ17,AV17),"Simulated Annealing",IF(AQ17=MIN(AL17,AQ17,AV17),"Ant Colony Optimization","Genetic Algorithm"))</f>
        <v>Simulated Annealing</v>
      </c>
      <c r="AZ17">
        <f>MIN(AL17,AQ17,AV17)</f>
        <v>50399.2688191337</v>
      </c>
      <c r="BA17">
        <f>AZ17/F17</f>
        <v>1.2199024958483673</v>
      </c>
      <c r="BB17">
        <v>47594.449777359398</v>
      </c>
      <c r="BC17">
        <f>BB17/F17</f>
        <v>1.1520125079649615</v>
      </c>
      <c r="BD17">
        <v>9.6000000000000002E-2</v>
      </c>
      <c r="BE17">
        <v>5</v>
      </c>
      <c r="BF17">
        <v>5</v>
      </c>
    </row>
    <row r="18" spans="1:58" x14ac:dyDescent="0.3">
      <c r="A18">
        <v>17</v>
      </c>
      <c r="B18">
        <v>170</v>
      </c>
      <c r="C18">
        <v>0.46550187373900198</v>
      </c>
      <c r="D18">
        <v>9.2718918988582608</v>
      </c>
      <c r="E18">
        <f t="shared" si="0"/>
        <v>3.0449781442332653</v>
      </c>
      <c r="F18">
        <v>45590.742475695799</v>
      </c>
      <c r="G18">
        <v>0.46951760002411902</v>
      </c>
      <c r="H18">
        <v>56740.362519460898</v>
      </c>
      <c r="I18">
        <f t="shared" si="1"/>
        <v>1.2445588608193627</v>
      </c>
      <c r="J18">
        <v>0.12966320000123199</v>
      </c>
      <c r="K18">
        <v>177644.290287243</v>
      </c>
      <c r="L18" t="s">
        <v>44</v>
      </c>
      <c r="M18" t="s">
        <v>37</v>
      </c>
      <c r="N18">
        <v>151</v>
      </c>
      <c r="O18">
        <f t="shared" si="2"/>
        <v>0.89411764705882357</v>
      </c>
      <c r="P18">
        <v>62367.7000913718</v>
      </c>
      <c r="Q18">
        <f t="shared" si="3"/>
        <v>1.3679904450913409</v>
      </c>
      <c r="R18">
        <v>0.46951760002411902</v>
      </c>
      <c r="S18">
        <v>148</v>
      </c>
      <c r="T18">
        <f t="shared" si="4"/>
        <v>0.87647058823529411</v>
      </c>
      <c r="U18">
        <v>59205.802897707901</v>
      </c>
      <c r="V18">
        <f t="shared" si="5"/>
        <v>1.2986365144035596</v>
      </c>
      <c r="W18">
        <v>0.13580759998876599</v>
      </c>
      <c r="X18" t="str">
        <f>IF(H18=MIN(H18,P18,U18),"Christofides",IF(P18=MIN(H18,P18,U18),"Arithmetic Series","Nearest Neighbor"))</f>
        <v>Christofides</v>
      </c>
      <c r="Y18">
        <f t="shared" si="6"/>
        <v>56740.362519460898</v>
      </c>
      <c r="Z18">
        <f t="shared" si="7"/>
        <v>1.2445588608193627</v>
      </c>
      <c r="AA18">
        <v>3563</v>
      </c>
      <c r="AB18">
        <v>4188</v>
      </c>
      <c r="AC18">
        <f t="shared" si="8"/>
        <v>0.85076408787010505</v>
      </c>
      <c r="AD18">
        <v>0</v>
      </c>
      <c r="AE18">
        <v>56740.362519460898</v>
      </c>
      <c r="AF18">
        <v>167</v>
      </c>
      <c r="AG18">
        <f t="shared" si="9"/>
        <v>3.9875835721107929E-2</v>
      </c>
      <c r="AH18" s="1">
        <v>4.3655745685100497E-11</v>
      </c>
      <c r="AI18" s="4">
        <v>56723.844992744402</v>
      </c>
      <c r="AJ18" s="4">
        <v>1218</v>
      </c>
      <c r="AK18" s="4">
        <f t="shared" si="10"/>
        <v>0.29083094555873923</v>
      </c>
      <c r="AL18">
        <v>55984.169763482598</v>
      </c>
      <c r="AM18">
        <f t="shared" si="11"/>
        <v>1.2279723190147096</v>
      </c>
      <c r="AN18">
        <v>0.31857780000427699</v>
      </c>
      <c r="AO18">
        <v>0</v>
      </c>
      <c r="AP18">
        <f t="shared" si="12"/>
        <v>0</v>
      </c>
      <c r="AQ18">
        <v>56740.362519460898</v>
      </c>
      <c r="AR18">
        <f t="shared" si="13"/>
        <v>1.2445588608193627</v>
      </c>
      <c r="AS18">
        <v>5.3773783000069599</v>
      </c>
      <c r="AT18">
        <v>40</v>
      </c>
      <c r="AU18">
        <f t="shared" si="14"/>
        <v>0.4</v>
      </c>
      <c r="AV18">
        <v>56673.106972676498</v>
      </c>
      <c r="AW18">
        <f t="shared" si="15"/>
        <v>1.2430836589881959</v>
      </c>
      <c r="AX18">
        <v>3.76679989999684</v>
      </c>
      <c r="AY18" t="str">
        <f>IF(AL18=MIN(AL18,AQ18,AV18),"Simulated Annealing",IF(AQ18=MIN(AL18,AQ18,AV18),"Ant Colony Optimization","Genetic Algorithm"))</f>
        <v>Simulated Annealing</v>
      </c>
      <c r="AZ18">
        <f>MIN(AL18,AQ18,AV18)</f>
        <v>55984.169763482598</v>
      </c>
      <c r="BA18">
        <f>AZ18/F18</f>
        <v>1.2279723190147096</v>
      </c>
      <c r="BB18">
        <v>52233.762512800298</v>
      </c>
      <c r="BC18">
        <f>BB18/F18</f>
        <v>1.1457098453846384</v>
      </c>
      <c r="BD18">
        <v>9.6000000000000002E-2</v>
      </c>
      <c r="BE18">
        <v>5</v>
      </c>
      <c r="BF18">
        <v>5.0129999999999999</v>
      </c>
    </row>
    <row r="19" spans="1:58" x14ac:dyDescent="0.3">
      <c r="A19">
        <v>18</v>
      </c>
      <c r="B19">
        <v>180</v>
      </c>
      <c r="C19">
        <v>0.39904816727606102</v>
      </c>
      <c r="D19">
        <v>4.8138399023333696</v>
      </c>
      <c r="E19">
        <f t="shared" si="0"/>
        <v>2.1940464676786973</v>
      </c>
      <c r="F19">
        <v>45369.380908202897</v>
      </c>
      <c r="G19">
        <v>0.578294900013133</v>
      </c>
      <c r="H19">
        <v>58225.645211700903</v>
      </c>
      <c r="I19">
        <f t="shared" si="1"/>
        <v>1.2833687400211706</v>
      </c>
      <c r="J19">
        <v>0.145219600002747</v>
      </c>
      <c r="K19">
        <v>201893.84696825899</v>
      </c>
      <c r="L19" t="s">
        <v>44</v>
      </c>
      <c r="M19" t="s">
        <v>37</v>
      </c>
      <c r="N19">
        <v>46</v>
      </c>
      <c r="O19">
        <f t="shared" si="2"/>
        <v>0.26111111111111113</v>
      </c>
      <c r="P19">
        <v>61784.228916563399</v>
      </c>
      <c r="Q19">
        <f t="shared" si="3"/>
        <v>1.3618045404140098</v>
      </c>
      <c r="R19">
        <v>0.578294900013133</v>
      </c>
      <c r="S19">
        <v>157</v>
      </c>
      <c r="T19">
        <f t="shared" si="4"/>
        <v>0.87777777777777777</v>
      </c>
      <c r="U19">
        <v>58434.4743183014</v>
      </c>
      <c r="V19">
        <f t="shared" si="5"/>
        <v>1.2879716043852012</v>
      </c>
      <c r="W19">
        <v>0.163875699974596</v>
      </c>
      <c r="X19" t="str">
        <f>IF(H19=MIN(H19,P19,U19),"Christofides",IF(P19=MIN(H19,P19,U19),"Arithmetic Series","Nearest Neighbor"))</f>
        <v>Christofides</v>
      </c>
      <c r="Y19">
        <f t="shared" si="6"/>
        <v>58225.645211700903</v>
      </c>
      <c r="Z19">
        <f t="shared" si="7"/>
        <v>1.2833687400211706</v>
      </c>
      <c r="AA19">
        <v>4118</v>
      </c>
      <c r="AB19">
        <v>4193</v>
      </c>
      <c r="AC19">
        <f t="shared" si="8"/>
        <v>0.98211304555211065</v>
      </c>
      <c r="AD19">
        <v>0</v>
      </c>
      <c r="AE19">
        <v>58225.645211700998</v>
      </c>
      <c r="AF19">
        <v>88</v>
      </c>
      <c r="AG19">
        <f t="shared" si="9"/>
        <v>2.0987359885523492E-2</v>
      </c>
      <c r="AH19" s="1">
        <v>6.5483618527650794E-11</v>
      </c>
      <c r="AI19" s="4">
        <v>57326.629559798501</v>
      </c>
      <c r="AJ19" s="4">
        <v>2658</v>
      </c>
      <c r="AK19" s="4">
        <f t="shared" si="10"/>
        <v>0.63391366563319818</v>
      </c>
      <c r="AL19">
        <v>56521.793291089802</v>
      </c>
      <c r="AM19">
        <f t="shared" si="11"/>
        <v>1.2458136337688162</v>
      </c>
      <c r="AN19">
        <v>0.31395070000144099</v>
      </c>
      <c r="AO19">
        <v>0</v>
      </c>
      <c r="AP19">
        <f t="shared" si="12"/>
        <v>0</v>
      </c>
      <c r="AQ19">
        <v>58225.645211700903</v>
      </c>
      <c r="AR19">
        <f t="shared" si="13"/>
        <v>1.2833687400211706</v>
      </c>
      <c r="AS19">
        <v>5.9228220999939296</v>
      </c>
      <c r="AT19">
        <v>82</v>
      </c>
      <c r="AU19">
        <f t="shared" si="14"/>
        <v>0.82</v>
      </c>
      <c r="AV19">
        <v>58046.721744345901</v>
      </c>
      <c r="AW19">
        <f t="shared" si="15"/>
        <v>1.2794250347341838</v>
      </c>
      <c r="AX19">
        <v>3.6624890999955801</v>
      </c>
      <c r="AY19" t="str">
        <f>IF(AL19=MIN(AL19,AQ19,AV19),"Simulated Annealing",IF(AQ19=MIN(AL19,AQ19,AV19),"Ant Colony Optimization","Genetic Algorithm"))</f>
        <v>Simulated Annealing</v>
      </c>
      <c r="AZ19">
        <f>MIN(AL19,AQ19,AV19)</f>
        <v>56521.793291089802</v>
      </c>
      <c r="BA19">
        <f>AZ19/F19</f>
        <v>1.2458136337688162</v>
      </c>
      <c r="BB19">
        <v>52300.215707110998</v>
      </c>
      <c r="BC19">
        <f>BB19/F19</f>
        <v>1.1527645883670188</v>
      </c>
      <c r="BD19">
        <v>9.6000000000000002E-2</v>
      </c>
      <c r="BE19">
        <v>5</v>
      </c>
      <c r="BF19">
        <v>5</v>
      </c>
    </row>
    <row r="20" spans="1:58" x14ac:dyDescent="0.3">
      <c r="A20">
        <v>19</v>
      </c>
      <c r="B20">
        <v>190</v>
      </c>
      <c r="C20">
        <v>0.36675467861081501</v>
      </c>
      <c r="D20">
        <v>1.61641089977547</v>
      </c>
      <c r="E20">
        <f t="shared" si="0"/>
        <v>1.2713814926195324</v>
      </c>
      <c r="F20">
        <v>46022.3810044454</v>
      </c>
      <c r="G20">
        <v>0.67364369996357698</v>
      </c>
      <c r="H20">
        <v>56714.389347328302</v>
      </c>
      <c r="I20">
        <f t="shared" si="1"/>
        <v>1.2323219292337382</v>
      </c>
      <c r="J20">
        <v>0.168809199996758</v>
      </c>
      <c r="K20">
        <v>227827.43789261501</v>
      </c>
      <c r="L20" t="s">
        <v>44</v>
      </c>
      <c r="M20" t="s">
        <v>37</v>
      </c>
      <c r="N20">
        <v>2</v>
      </c>
      <c r="O20">
        <f t="shared" si="2"/>
        <v>1.5789473684210527E-2</v>
      </c>
      <c r="P20">
        <v>61358.367261799598</v>
      </c>
      <c r="Q20">
        <f t="shared" si="3"/>
        <v>1.3332288752264438</v>
      </c>
      <c r="R20">
        <v>0.67364369996357698</v>
      </c>
      <c r="S20">
        <v>89</v>
      </c>
      <c r="T20">
        <f t="shared" si="4"/>
        <v>0.47368421052631576</v>
      </c>
      <c r="U20">
        <v>57963.841344686698</v>
      </c>
      <c r="V20">
        <f t="shared" si="5"/>
        <v>1.2594707201065465</v>
      </c>
      <c r="W20">
        <v>0.17249699996318599</v>
      </c>
      <c r="X20" t="str">
        <f>IF(H20=MIN(H20,P20,U20),"Christofides",IF(P20=MIN(H20,P20,U20),"Arithmetic Series","Nearest Neighbor"))</f>
        <v>Christofides</v>
      </c>
      <c r="Y20">
        <f t="shared" si="6"/>
        <v>56714.389347328302</v>
      </c>
      <c r="Z20">
        <f t="shared" si="7"/>
        <v>1.2323219292337382</v>
      </c>
      <c r="AA20">
        <v>3393</v>
      </c>
      <c r="AB20">
        <v>4199</v>
      </c>
      <c r="AC20">
        <f t="shared" si="8"/>
        <v>0.80804953560371517</v>
      </c>
      <c r="AD20">
        <v>0</v>
      </c>
      <c r="AE20">
        <v>56711.5383510752</v>
      </c>
      <c r="AF20">
        <v>421</v>
      </c>
      <c r="AG20">
        <f t="shared" si="9"/>
        <v>0.10026196713503215</v>
      </c>
      <c r="AH20" s="1">
        <v>1.45519152283668E-11</v>
      </c>
      <c r="AI20" s="4">
        <v>56711.5383510752</v>
      </c>
      <c r="AJ20" s="4">
        <v>421</v>
      </c>
      <c r="AK20" s="4">
        <f t="shared" si="10"/>
        <v>0.10026196713503215</v>
      </c>
      <c r="AL20">
        <v>55614.4722244722</v>
      </c>
      <c r="AM20">
        <f t="shared" si="11"/>
        <v>1.2084223156359573</v>
      </c>
      <c r="AN20">
        <v>0.33058989999699401</v>
      </c>
      <c r="AO20">
        <v>1</v>
      </c>
      <c r="AP20">
        <f t="shared" si="12"/>
        <v>0.1</v>
      </c>
      <c r="AQ20">
        <v>56714.389347328201</v>
      </c>
      <c r="AR20">
        <f t="shared" si="13"/>
        <v>1.232321929233736</v>
      </c>
      <c r="AS20">
        <v>7.0012569000100404</v>
      </c>
      <c r="AT20">
        <v>98</v>
      </c>
      <c r="AU20">
        <f t="shared" si="14"/>
        <v>0.98</v>
      </c>
      <c r="AV20">
        <v>56680.144928298701</v>
      </c>
      <c r="AW20">
        <f t="shared" si="15"/>
        <v>1.2315778473700403</v>
      </c>
      <c r="AX20">
        <v>6.45479499999783</v>
      </c>
      <c r="AY20" t="str">
        <f>IF(AL20=MIN(AL20,AQ20,AV20),"Simulated Annealing",IF(AQ20=MIN(AL20,AQ20,AV20),"Ant Colony Optimization","Genetic Algorithm"))</f>
        <v>Simulated Annealing</v>
      </c>
      <c r="AZ20">
        <f>MIN(AL20,AQ20,AV20)</f>
        <v>55614.4722244722</v>
      </c>
      <c r="BA20">
        <f>AZ20/F20</f>
        <v>1.2084223156359573</v>
      </c>
      <c r="BB20">
        <v>53201.820345433604</v>
      </c>
      <c r="BC20">
        <f>BB20/F20</f>
        <v>1.1559988680354178</v>
      </c>
      <c r="BD20">
        <v>4.8000000000000001E-2</v>
      </c>
      <c r="BE20">
        <v>5</v>
      </c>
      <c r="BF20">
        <v>5.0750000000000002</v>
      </c>
    </row>
    <row r="21" spans="1:58" x14ac:dyDescent="0.3">
      <c r="A21">
        <v>20</v>
      </c>
      <c r="B21">
        <v>200</v>
      </c>
      <c r="C21">
        <v>0.32904639114911099</v>
      </c>
      <c r="D21">
        <v>2.6582084758606399</v>
      </c>
      <c r="E21">
        <f t="shared" si="0"/>
        <v>1.630401323558295</v>
      </c>
      <c r="F21">
        <v>46808.4551222312</v>
      </c>
      <c r="G21">
        <v>0.76468589995056302</v>
      </c>
      <c r="H21">
        <v>60211.336777283599</v>
      </c>
      <c r="I21">
        <f t="shared" si="1"/>
        <v>1.2863346295034386</v>
      </c>
      <c r="J21">
        <v>0.17362590000266201</v>
      </c>
      <c r="K21">
        <v>255452.84351161699</v>
      </c>
      <c r="L21" t="s">
        <v>44</v>
      </c>
      <c r="M21">
        <v>0</v>
      </c>
      <c r="N21">
        <v>67</v>
      </c>
      <c r="O21">
        <f t="shared" si="2"/>
        <v>0.34</v>
      </c>
      <c r="P21">
        <v>67272.1358756017</v>
      </c>
      <c r="Q21">
        <f t="shared" si="3"/>
        <v>1.4371791527819828</v>
      </c>
      <c r="R21">
        <v>0.76468589995056302</v>
      </c>
      <c r="S21">
        <v>61</v>
      </c>
      <c r="T21">
        <f t="shared" si="4"/>
        <v>0.31</v>
      </c>
      <c r="U21">
        <v>62949.4043315749</v>
      </c>
      <c r="V21">
        <f t="shared" si="5"/>
        <v>1.3448297784491017</v>
      </c>
      <c r="W21">
        <v>0.19963609997648701</v>
      </c>
      <c r="X21" t="str">
        <f>IF(H21=MIN(H21,P21,U21),"Christofides",IF(P21=MIN(H21,P21,U21),"Arithmetic Series","Nearest Neighbor"))</f>
        <v>Christofides</v>
      </c>
      <c r="Y21">
        <f t="shared" si="6"/>
        <v>60211.336777283599</v>
      </c>
      <c r="Z21">
        <f t="shared" si="7"/>
        <v>1.2863346295034386</v>
      </c>
      <c r="AA21">
        <v>3266</v>
      </c>
      <c r="AB21">
        <v>4204</v>
      </c>
      <c r="AC21">
        <f t="shared" si="8"/>
        <v>0.77687916270218838</v>
      </c>
      <c r="AD21">
        <v>0</v>
      </c>
      <c r="AE21">
        <v>60211.336777283599</v>
      </c>
      <c r="AF21">
        <v>51</v>
      </c>
      <c r="AG21">
        <f t="shared" si="9"/>
        <v>1.2131303520456709E-2</v>
      </c>
      <c r="AH21" s="1">
        <v>8.7311491370201098E-11</v>
      </c>
      <c r="AI21" s="4">
        <v>59789.13892741</v>
      </c>
      <c r="AJ21" s="4">
        <v>3697</v>
      </c>
      <c r="AK21" s="4">
        <f t="shared" si="10"/>
        <v>0.87940057088487156</v>
      </c>
      <c r="AL21">
        <v>59789.138927409898</v>
      </c>
      <c r="AM21">
        <f t="shared" si="11"/>
        <v>1.2773149374676469</v>
      </c>
      <c r="AN21">
        <v>0.339049700007308</v>
      </c>
      <c r="AO21">
        <v>0</v>
      </c>
      <c r="AP21">
        <f t="shared" si="12"/>
        <v>0</v>
      </c>
      <c r="AQ21">
        <v>60211.336777283599</v>
      </c>
      <c r="AR21">
        <f t="shared" si="13"/>
        <v>1.2863346295034386</v>
      </c>
      <c r="AS21">
        <v>8.3694279000046592</v>
      </c>
      <c r="AT21">
        <v>39</v>
      </c>
      <c r="AU21">
        <f t="shared" si="14"/>
        <v>0.39</v>
      </c>
      <c r="AV21">
        <v>60072.766680802299</v>
      </c>
      <c r="AW21">
        <f t="shared" si="15"/>
        <v>1.2833742648402713</v>
      </c>
      <c r="AX21">
        <v>7.2569972000055696</v>
      </c>
      <c r="AY21" t="str">
        <f>IF(AL21=MIN(AL21,AQ21,AV21),"Simulated Annealing",IF(AQ21=MIN(AL21,AQ21,AV21),"Ant Colony Optimization","Genetic Algorithm"))</f>
        <v>Simulated Annealing</v>
      </c>
      <c r="AZ21">
        <f>MIN(AL21,AQ21,AV21)</f>
        <v>59789.138927409898</v>
      </c>
      <c r="BA21">
        <f>AZ21/F21</f>
        <v>1.2773149374676469</v>
      </c>
      <c r="BB21">
        <v>55043.039782187203</v>
      </c>
      <c r="BC21">
        <f>BB21/F21</f>
        <v>1.1759208809274517</v>
      </c>
      <c r="BD21">
        <v>0.112</v>
      </c>
      <c r="BE21">
        <v>5</v>
      </c>
      <c r="BF21">
        <v>5</v>
      </c>
    </row>
    <row r="22" spans="1:58" x14ac:dyDescent="0.3">
      <c r="A22">
        <v>21</v>
      </c>
      <c r="B22">
        <v>210</v>
      </c>
      <c r="C22">
        <v>0.29109191790997402</v>
      </c>
      <c r="D22">
        <v>0.71517971833054905</v>
      </c>
      <c r="E22">
        <f t="shared" si="0"/>
        <v>0.84568298926403207</v>
      </c>
      <c r="F22">
        <v>48220.5152870565</v>
      </c>
      <c r="G22">
        <v>0.95876129996031501</v>
      </c>
      <c r="H22">
        <v>60760.904764396299</v>
      </c>
      <c r="I22">
        <f t="shared" si="1"/>
        <v>1.2600633652022779</v>
      </c>
      <c r="J22">
        <v>0.22607400000561001</v>
      </c>
      <c r="K22">
        <v>284808.034752101</v>
      </c>
      <c r="L22" t="s">
        <v>44</v>
      </c>
      <c r="M22">
        <v>0</v>
      </c>
      <c r="N22">
        <v>203</v>
      </c>
      <c r="O22">
        <f t="shared" si="2"/>
        <v>0.97142857142857142</v>
      </c>
      <c r="P22">
        <v>68405.149981697206</v>
      </c>
      <c r="Q22">
        <f t="shared" si="3"/>
        <v>1.4185901908032643</v>
      </c>
      <c r="R22">
        <v>0.95876129996031501</v>
      </c>
      <c r="S22">
        <v>46</v>
      </c>
      <c r="T22">
        <f t="shared" si="4"/>
        <v>0.22380952380952382</v>
      </c>
      <c r="U22">
        <v>62662.532406695798</v>
      </c>
      <c r="V22">
        <f t="shared" si="5"/>
        <v>1.299499435741531</v>
      </c>
      <c r="W22">
        <v>0.228932700003497</v>
      </c>
      <c r="X22" t="str">
        <f>IF(H22=MIN(H22,P22,U22),"Christofides",IF(P22=MIN(H22,P22,U22),"Arithmetic Series","Nearest Neighbor"))</f>
        <v>Christofides</v>
      </c>
      <c r="Y22">
        <f t="shared" si="6"/>
        <v>60760.904764396299</v>
      </c>
      <c r="Z22">
        <f t="shared" si="7"/>
        <v>1.2600633652022779</v>
      </c>
      <c r="AA22">
        <v>4190</v>
      </c>
      <c r="AB22">
        <v>4209</v>
      </c>
      <c r="AC22">
        <f t="shared" si="8"/>
        <v>0.99548586362556424</v>
      </c>
      <c r="AD22">
        <v>0</v>
      </c>
      <c r="AE22">
        <v>60760.904764396299</v>
      </c>
      <c r="AF22">
        <v>686</v>
      </c>
      <c r="AG22">
        <f t="shared" si="9"/>
        <v>0.162984081729627</v>
      </c>
      <c r="AH22" s="1">
        <v>5.0931703299283897E-11</v>
      </c>
      <c r="AI22" s="4">
        <v>59849.2149231023</v>
      </c>
      <c r="AJ22" s="4">
        <v>3719</v>
      </c>
      <c r="AK22" s="4">
        <f t="shared" si="10"/>
        <v>0.88358279876455215</v>
      </c>
      <c r="AL22">
        <v>59796.966511226798</v>
      </c>
      <c r="AM22">
        <f t="shared" si="11"/>
        <v>1.2400731546574262</v>
      </c>
      <c r="AN22">
        <v>0.36901460000080899</v>
      </c>
      <c r="AO22">
        <v>1</v>
      </c>
      <c r="AP22">
        <f t="shared" si="12"/>
        <v>0.1</v>
      </c>
      <c r="AQ22">
        <v>60760.904764396299</v>
      </c>
      <c r="AR22">
        <f t="shared" si="13"/>
        <v>1.2600633652022779</v>
      </c>
      <c r="AS22">
        <v>9.0508053999947098</v>
      </c>
      <c r="AT22">
        <v>91</v>
      </c>
      <c r="AU22">
        <f t="shared" si="14"/>
        <v>0.91</v>
      </c>
      <c r="AV22">
        <v>60098.680962619001</v>
      </c>
      <c r="AW22">
        <f t="shared" si="15"/>
        <v>1.2463301274333516</v>
      </c>
      <c r="AX22">
        <v>6.0442211999907096</v>
      </c>
      <c r="AY22" t="str">
        <f>IF(AL22=MIN(AL22,AQ22,AV22),"Simulated Annealing",IF(AQ22=MIN(AL22,AQ22,AV22),"Ant Colony Optimization","Genetic Algorithm"))</f>
        <v>Simulated Annealing</v>
      </c>
      <c r="AZ22">
        <f>MIN(AL22,AQ22,AV22)</f>
        <v>59796.966511226798</v>
      </c>
      <c r="BA22">
        <f>AZ22/F22</f>
        <v>1.2400731546574262</v>
      </c>
      <c r="BB22">
        <v>55557.558697665103</v>
      </c>
      <c r="BC22">
        <f>BB22/F22</f>
        <v>1.1521560557146937</v>
      </c>
      <c r="BD22">
        <v>9.6000000000000002E-2</v>
      </c>
      <c r="BE22">
        <v>5</v>
      </c>
      <c r="BF22">
        <v>5.085</v>
      </c>
    </row>
    <row r="23" spans="1:58" x14ac:dyDescent="0.3">
      <c r="A23">
        <v>22</v>
      </c>
      <c r="B23">
        <v>220</v>
      </c>
      <c r="C23">
        <v>0.26401934055759302</v>
      </c>
      <c r="D23">
        <v>0.84485792897057499</v>
      </c>
      <c r="E23">
        <f t="shared" si="0"/>
        <v>0.91916153584153804</v>
      </c>
      <c r="F23">
        <v>49806.641500491198</v>
      </c>
      <c r="G23">
        <v>1.00463730003684</v>
      </c>
      <c r="H23">
        <v>64192.434541734998</v>
      </c>
      <c r="I23">
        <f t="shared" si="1"/>
        <v>1.2888328264635536</v>
      </c>
      <c r="J23">
        <v>0.22814389999257401</v>
      </c>
      <c r="K23">
        <v>315885.71396043402</v>
      </c>
      <c r="L23" t="s">
        <v>44</v>
      </c>
      <c r="M23">
        <v>0</v>
      </c>
      <c r="N23">
        <v>0</v>
      </c>
      <c r="O23">
        <f t="shared" si="2"/>
        <v>4.5454545454545452E-3</v>
      </c>
      <c r="P23">
        <v>68368.845154274299</v>
      </c>
      <c r="Q23">
        <f t="shared" si="3"/>
        <v>1.3726853105243011</v>
      </c>
      <c r="R23">
        <v>1.00463730003684</v>
      </c>
      <c r="S23">
        <v>159</v>
      </c>
      <c r="T23">
        <f t="shared" si="4"/>
        <v>0.72727272727272729</v>
      </c>
      <c r="U23">
        <v>64087.871295118202</v>
      </c>
      <c r="V23">
        <f t="shared" si="5"/>
        <v>1.2867334428579402</v>
      </c>
      <c r="W23">
        <v>0.29795839998405399</v>
      </c>
      <c r="X23" t="str">
        <f>IF(H23=MIN(H23,P23,U23),"Christofides",IF(P23=MIN(H23,P23,U23),"Arithmetic Series","Nearest Neighbor"))</f>
        <v>Nearest Neighbor</v>
      </c>
      <c r="Y23">
        <f t="shared" si="6"/>
        <v>64087.871295118202</v>
      </c>
      <c r="Z23">
        <f t="shared" si="7"/>
        <v>1.2867334428579402</v>
      </c>
      <c r="AA23">
        <v>4198</v>
      </c>
      <c r="AB23">
        <v>4213</v>
      </c>
      <c r="AC23">
        <f t="shared" si="8"/>
        <v>0.99643959173985286</v>
      </c>
      <c r="AD23">
        <v>0</v>
      </c>
      <c r="AE23">
        <v>64087.871295118202</v>
      </c>
      <c r="AF23">
        <v>71</v>
      </c>
      <c r="AG23">
        <f t="shared" si="9"/>
        <v>1.6852599098029906E-2</v>
      </c>
      <c r="AH23" s="1">
        <v>4.3655745685100497E-11</v>
      </c>
      <c r="AI23" s="4">
        <v>64087.871295118202</v>
      </c>
      <c r="AJ23" s="4">
        <v>479</v>
      </c>
      <c r="AK23" s="4">
        <f t="shared" si="10"/>
        <v>0.11369570377403275</v>
      </c>
      <c r="AL23">
        <v>63680.451256673099</v>
      </c>
      <c r="AM23">
        <f t="shared" si="11"/>
        <v>1.2785534085056725</v>
      </c>
      <c r="AN23">
        <v>0.39738660000148202</v>
      </c>
      <c r="AO23">
        <v>8</v>
      </c>
      <c r="AP23">
        <f t="shared" si="12"/>
        <v>0.8</v>
      </c>
      <c r="AQ23">
        <v>62271.278407873397</v>
      </c>
      <c r="AR23">
        <f t="shared" si="13"/>
        <v>1.2502605381906602</v>
      </c>
      <c r="AS23">
        <v>11.9315132999909</v>
      </c>
      <c r="AT23">
        <v>72</v>
      </c>
      <c r="AU23">
        <f t="shared" si="14"/>
        <v>0.72</v>
      </c>
      <c r="AV23">
        <v>63656.180921793399</v>
      </c>
      <c r="AW23">
        <f t="shared" si="15"/>
        <v>1.2780661173704237</v>
      </c>
      <c r="AX23">
        <v>7.7751736000063802</v>
      </c>
      <c r="AY23" t="str">
        <f>IF(AL23=MIN(AL23,AQ23,AV23),"Simulated Annealing",IF(AQ23=MIN(AL23,AQ23,AV23),"Ant Colony Optimization","Genetic Algorithm"))</f>
        <v>Ant Colony Optimization</v>
      </c>
      <c r="AZ23">
        <f>MIN(AL23,AQ23,AV23)</f>
        <v>62271.278407873397</v>
      </c>
      <c r="BA23">
        <f>AZ23/F23</f>
        <v>1.2502605381906602</v>
      </c>
      <c r="BB23">
        <v>57590.780574488897</v>
      </c>
      <c r="BC23">
        <f>BB23/F23</f>
        <v>1.1562871705356992</v>
      </c>
      <c r="BD23">
        <v>0.112</v>
      </c>
      <c r="BE23">
        <v>5</v>
      </c>
      <c r="BF23">
        <v>5</v>
      </c>
    </row>
    <row r="24" spans="1:58" x14ac:dyDescent="0.3">
      <c r="A24">
        <v>23</v>
      </c>
      <c r="B24">
        <v>230</v>
      </c>
      <c r="C24">
        <v>0.25057824848435301</v>
      </c>
      <c r="D24">
        <v>0.85621812367063399</v>
      </c>
      <c r="E24">
        <f t="shared" si="0"/>
        <v>0.9253205518471066</v>
      </c>
      <c r="F24">
        <v>51586.225901071601</v>
      </c>
      <c r="G24">
        <v>1.19915800006128</v>
      </c>
      <c r="H24">
        <v>67830.207257581103</v>
      </c>
      <c r="I24">
        <f t="shared" si="1"/>
        <v>1.3148898969205667</v>
      </c>
      <c r="J24">
        <v>0.243988500005798</v>
      </c>
      <c r="K24">
        <v>348714.66809242702</v>
      </c>
      <c r="L24" t="s">
        <v>44</v>
      </c>
      <c r="M24">
        <v>0</v>
      </c>
      <c r="N24">
        <v>138</v>
      </c>
      <c r="O24">
        <f t="shared" si="2"/>
        <v>0.60434782608695647</v>
      </c>
      <c r="P24">
        <v>71441.997123837398</v>
      </c>
      <c r="Q24">
        <f t="shared" si="3"/>
        <v>1.3849045142562626</v>
      </c>
      <c r="R24">
        <v>1.19915800006128</v>
      </c>
      <c r="S24">
        <v>101</v>
      </c>
      <c r="T24">
        <f t="shared" si="4"/>
        <v>0.44347826086956521</v>
      </c>
      <c r="U24">
        <v>68293.381796522197</v>
      </c>
      <c r="V24">
        <f t="shared" si="5"/>
        <v>1.323868544434524</v>
      </c>
      <c r="W24">
        <v>0.32686150004155901</v>
      </c>
      <c r="X24" t="str">
        <f>IF(H24=MIN(H24,P24,U24),"Christofides",IF(P24=MIN(H24,P24,U24),"Arithmetic Series","Nearest Neighbor"))</f>
        <v>Christofides</v>
      </c>
      <c r="Y24">
        <f t="shared" si="6"/>
        <v>67830.207257581103</v>
      </c>
      <c r="Z24">
        <f t="shared" si="7"/>
        <v>1.3148898969205667</v>
      </c>
      <c r="AA24">
        <v>4095</v>
      </c>
      <c r="AB24">
        <v>4218</v>
      </c>
      <c r="AC24">
        <f t="shared" si="8"/>
        <v>0.97083926031294454</v>
      </c>
      <c r="AD24">
        <v>0</v>
      </c>
      <c r="AE24">
        <v>67830.207257581103</v>
      </c>
      <c r="AF24">
        <v>17</v>
      </c>
      <c r="AG24">
        <f t="shared" si="9"/>
        <v>4.0303461356092935E-3</v>
      </c>
      <c r="AH24" s="1">
        <v>5.8207660913467401E-11</v>
      </c>
      <c r="AI24" s="4">
        <v>66944.151790915304</v>
      </c>
      <c r="AJ24" s="4">
        <v>2114</v>
      </c>
      <c r="AK24" s="4">
        <f t="shared" si="10"/>
        <v>0.50118539592223799</v>
      </c>
      <c r="AL24">
        <v>66413.293056365001</v>
      </c>
      <c r="AM24">
        <f t="shared" si="11"/>
        <v>1.2874229873634815</v>
      </c>
      <c r="AN24">
        <v>0.40135020000161598</v>
      </c>
      <c r="AO24">
        <v>0</v>
      </c>
      <c r="AP24">
        <f t="shared" si="12"/>
        <v>0</v>
      </c>
      <c r="AQ24">
        <v>67830.207257581103</v>
      </c>
      <c r="AR24">
        <f t="shared" si="13"/>
        <v>1.3148898969205667</v>
      </c>
      <c r="AS24">
        <v>13.382599000004101</v>
      </c>
      <c r="AT24">
        <v>6</v>
      </c>
      <c r="AU24">
        <f t="shared" si="14"/>
        <v>0.06</v>
      </c>
      <c r="AV24">
        <v>67819.575834703995</v>
      </c>
      <c r="AW24">
        <f t="shared" si="15"/>
        <v>1.3146838065797557</v>
      </c>
      <c r="AX24">
        <v>8.8340365000040002</v>
      </c>
      <c r="AY24" t="str">
        <f>IF(AL24=MIN(AL24,AQ24,AV24),"Simulated Annealing",IF(AQ24=MIN(AL24,AQ24,AV24),"Ant Colony Optimization","Genetic Algorithm"))</f>
        <v>Simulated Annealing</v>
      </c>
      <c r="AZ24">
        <f>MIN(AL24,AQ24,AV24)</f>
        <v>66413.293056365001</v>
      </c>
      <c r="BA24">
        <f>AZ24/F24</f>
        <v>1.2874229873634815</v>
      </c>
      <c r="BB24">
        <v>60277.233372381597</v>
      </c>
      <c r="BC24">
        <f>BB24/F24</f>
        <v>1.1684753501443776</v>
      </c>
      <c r="BD24">
        <v>0.112</v>
      </c>
      <c r="BE24">
        <v>5</v>
      </c>
      <c r="BF24">
        <v>5.0940000000000003</v>
      </c>
    </row>
    <row r="25" spans="1:58" x14ac:dyDescent="0.3">
      <c r="A25">
        <v>24</v>
      </c>
      <c r="B25">
        <v>240</v>
      </c>
      <c r="C25">
        <v>0.24018528820181001</v>
      </c>
      <c r="D25">
        <v>1.7531565072581601</v>
      </c>
      <c r="E25">
        <f t="shared" si="0"/>
        <v>1.324068165638824</v>
      </c>
      <c r="F25">
        <v>53724.805976892298</v>
      </c>
      <c r="G25">
        <v>1.3672939999960301</v>
      </c>
      <c r="H25">
        <v>69586.045841019499</v>
      </c>
      <c r="I25">
        <f t="shared" si="1"/>
        <v>1.2952312172323026</v>
      </c>
      <c r="J25">
        <v>0.27593989999149898</v>
      </c>
      <c r="K25">
        <v>383293.19073297799</v>
      </c>
      <c r="L25" t="s">
        <v>44</v>
      </c>
      <c r="M25">
        <v>0</v>
      </c>
      <c r="N25">
        <v>53</v>
      </c>
      <c r="O25">
        <f t="shared" si="2"/>
        <v>0.22500000000000001</v>
      </c>
      <c r="P25">
        <v>71210.062010122099</v>
      </c>
      <c r="Q25">
        <f t="shared" si="3"/>
        <v>1.3254596403894028</v>
      </c>
      <c r="R25">
        <v>1.3672939999960301</v>
      </c>
      <c r="S25">
        <v>29</v>
      </c>
      <c r="T25">
        <f t="shared" si="4"/>
        <v>0.125</v>
      </c>
      <c r="U25">
        <v>68175.403572119001</v>
      </c>
      <c r="V25">
        <f t="shared" si="5"/>
        <v>1.2689744026519534</v>
      </c>
      <c r="W25">
        <v>0.36118290002923398</v>
      </c>
      <c r="X25" t="str">
        <f>IF(H25=MIN(H25,P25,U25),"Christofides",IF(P25=MIN(H25,P25,U25),"Arithmetic Series","Nearest Neighbor"))</f>
        <v>Nearest Neighbor</v>
      </c>
      <c r="Y25">
        <f t="shared" si="6"/>
        <v>68175.403572119001</v>
      </c>
      <c r="Z25">
        <f t="shared" si="7"/>
        <v>1.2689744026519534</v>
      </c>
      <c r="AA25">
        <v>4123</v>
      </c>
      <c r="AB25">
        <v>4222</v>
      </c>
      <c r="AC25">
        <f t="shared" si="8"/>
        <v>0.97655139744197061</v>
      </c>
      <c r="AD25">
        <v>0</v>
      </c>
      <c r="AE25">
        <v>68158.012056533</v>
      </c>
      <c r="AF25">
        <v>603</v>
      </c>
      <c r="AG25">
        <f t="shared" si="9"/>
        <v>0.14282330648981525</v>
      </c>
      <c r="AH25" s="1">
        <v>2.91038304567337E-11</v>
      </c>
      <c r="AI25" s="4">
        <v>68158.012056533</v>
      </c>
      <c r="AJ25" s="4">
        <v>603</v>
      </c>
      <c r="AK25" s="4">
        <f t="shared" si="10"/>
        <v>0.14282330648981525</v>
      </c>
      <c r="AL25">
        <v>67598.123227623393</v>
      </c>
      <c r="AM25">
        <f t="shared" si="11"/>
        <v>1.2582292666947588</v>
      </c>
      <c r="AN25">
        <v>0.41038780000235398</v>
      </c>
      <c r="AO25">
        <v>5</v>
      </c>
      <c r="AP25">
        <f t="shared" si="12"/>
        <v>0.5</v>
      </c>
      <c r="AQ25">
        <v>68089.3240541103</v>
      </c>
      <c r="AR25">
        <f t="shared" si="13"/>
        <v>1.2673721722400701</v>
      </c>
      <c r="AS25">
        <v>15.3551791999925</v>
      </c>
      <c r="AT25">
        <v>0</v>
      </c>
      <c r="AU25">
        <f t="shared" si="14"/>
        <v>0</v>
      </c>
      <c r="AV25">
        <v>68175.403572119001</v>
      </c>
      <c r="AW25">
        <f t="shared" si="15"/>
        <v>1.2689744026519534</v>
      </c>
      <c r="AX25">
        <v>9.3969128000026103</v>
      </c>
      <c r="AY25" t="str">
        <f>IF(AL25=MIN(AL25,AQ25,AV25),"Simulated Annealing",IF(AQ25=MIN(AL25,AQ25,AV25),"Ant Colony Optimization","Genetic Algorithm"))</f>
        <v>Simulated Annealing</v>
      </c>
      <c r="AZ25">
        <f>MIN(AL25,AQ25,AV25)</f>
        <v>67598.123227623393</v>
      </c>
      <c r="BA25">
        <f>AZ25/F25</f>
        <v>1.2582292666947588</v>
      </c>
      <c r="BB25">
        <v>61485.475340239303</v>
      </c>
      <c r="BC25">
        <f>BB25/F25</f>
        <v>1.1444522548240559</v>
      </c>
      <c r="BD25">
        <v>0.112</v>
      </c>
      <c r="BE25">
        <v>5</v>
      </c>
      <c r="BF25">
        <v>5.0179999999999998</v>
      </c>
    </row>
    <row r="26" spans="1:58" x14ac:dyDescent="0.3">
      <c r="A26">
        <v>25</v>
      </c>
      <c r="B26">
        <v>250</v>
      </c>
      <c r="C26">
        <v>0.211434452952347</v>
      </c>
      <c r="D26">
        <v>0.82641329850886802</v>
      </c>
      <c r="E26">
        <f t="shared" si="0"/>
        <v>0.90907276854433827</v>
      </c>
      <c r="F26">
        <v>53048.8619373818</v>
      </c>
      <c r="G26">
        <v>1.48175400006584</v>
      </c>
      <c r="H26">
        <v>68397.449780024195</v>
      </c>
      <c r="I26">
        <f t="shared" si="1"/>
        <v>1.2893292576334563</v>
      </c>
      <c r="J26">
        <v>0.305821499990997</v>
      </c>
      <c r="K26">
        <v>419646.25852371799</v>
      </c>
      <c r="L26" t="s">
        <v>44</v>
      </c>
      <c r="M26">
        <v>0</v>
      </c>
      <c r="N26">
        <v>20</v>
      </c>
      <c r="O26">
        <f t="shared" si="2"/>
        <v>8.4000000000000005E-2</v>
      </c>
      <c r="P26">
        <v>73682.912701610505</v>
      </c>
      <c r="Q26">
        <f t="shared" si="3"/>
        <v>1.3889631183527533</v>
      </c>
      <c r="R26">
        <v>1.48175400006584</v>
      </c>
      <c r="S26">
        <v>109</v>
      </c>
      <c r="T26">
        <f t="shared" si="4"/>
        <v>0.44</v>
      </c>
      <c r="U26">
        <v>69846.443428768602</v>
      </c>
      <c r="V26">
        <f t="shared" si="5"/>
        <v>1.3166435787296333</v>
      </c>
      <c r="W26">
        <v>0.39605510002002098</v>
      </c>
      <c r="X26" t="str">
        <f>IF(H26=MIN(H26,P26,U26),"Christofides",IF(P26=MIN(H26,P26,U26),"Arithmetic Series","Nearest Neighbor"))</f>
        <v>Christofides</v>
      </c>
      <c r="Y26">
        <f t="shared" si="6"/>
        <v>68397.449780024195</v>
      </c>
      <c r="Z26">
        <f t="shared" si="7"/>
        <v>1.2893292576334563</v>
      </c>
      <c r="AA26">
        <v>3620</v>
      </c>
      <c r="AB26">
        <v>4226</v>
      </c>
      <c r="AC26">
        <f t="shared" si="8"/>
        <v>0.85660198769522011</v>
      </c>
      <c r="AD26">
        <v>0</v>
      </c>
      <c r="AE26">
        <v>68397.628351623804</v>
      </c>
      <c r="AF26">
        <v>22</v>
      </c>
      <c r="AG26">
        <f t="shared" si="9"/>
        <v>5.2058684335068621E-3</v>
      </c>
      <c r="AH26">
        <v>0.17857159960840299</v>
      </c>
      <c r="AI26" s="4">
        <v>68397.628351623804</v>
      </c>
      <c r="AJ26" s="4">
        <v>22</v>
      </c>
      <c r="AK26" s="4">
        <f t="shared" si="10"/>
        <v>5.2058684335068621E-3</v>
      </c>
      <c r="AL26">
        <v>67637.326241661198</v>
      </c>
      <c r="AM26">
        <f t="shared" si="11"/>
        <v>1.2750005140826477</v>
      </c>
      <c r="AN26">
        <v>0.44645070000842602</v>
      </c>
      <c r="AO26">
        <v>10</v>
      </c>
      <c r="AP26">
        <f t="shared" si="12"/>
        <v>1</v>
      </c>
      <c r="AQ26">
        <v>67585.872090075005</v>
      </c>
      <c r="AR26">
        <f t="shared" si="13"/>
        <v>1.2740305752431127</v>
      </c>
      <c r="AS26">
        <v>14.0627064</v>
      </c>
      <c r="AT26">
        <v>35</v>
      </c>
      <c r="AU26">
        <f t="shared" si="14"/>
        <v>0.35</v>
      </c>
      <c r="AV26">
        <v>68332.341693327806</v>
      </c>
      <c r="AW26">
        <f t="shared" si="15"/>
        <v>1.2881019346651852</v>
      </c>
      <c r="AX26">
        <v>13.2988213999924</v>
      </c>
      <c r="AY26" t="str">
        <f>IF(AL26=MIN(AL26,AQ26,AV26),"Simulated Annealing",IF(AQ26=MIN(AL26,AQ26,AV26),"Ant Colony Optimization","Genetic Algorithm"))</f>
        <v>Ant Colony Optimization</v>
      </c>
      <c r="AZ26">
        <f>MIN(AL26,AQ26,AV26)</f>
        <v>67585.872090075005</v>
      </c>
      <c r="BA26">
        <f>AZ26/F26</f>
        <v>1.2740305752431127</v>
      </c>
      <c r="BB26">
        <v>62189.182831946498</v>
      </c>
      <c r="BC26">
        <f>BB26/F26</f>
        <v>1.1723000373759915</v>
      </c>
      <c r="BD26">
        <v>9.6000000000000002E-2</v>
      </c>
      <c r="BE26">
        <v>5</v>
      </c>
      <c r="BF26">
        <v>5.0279999999999996</v>
      </c>
    </row>
    <row r="27" spans="1:58" x14ac:dyDescent="0.3">
      <c r="A27">
        <v>26</v>
      </c>
      <c r="B27">
        <v>260</v>
      </c>
      <c r="C27">
        <v>0.207115037857909</v>
      </c>
      <c r="D27">
        <v>1.9520437855955</v>
      </c>
      <c r="E27">
        <f t="shared" si="0"/>
        <v>1.3971556053623733</v>
      </c>
      <c r="F27">
        <v>55561.064182655602</v>
      </c>
      <c r="G27">
        <v>1.6925889999838499</v>
      </c>
      <c r="H27">
        <v>70985.551640432197</v>
      </c>
      <c r="I27">
        <f t="shared" si="1"/>
        <v>1.2776132474185335</v>
      </c>
      <c r="J27">
        <v>6.6334499977528993E-2</v>
      </c>
      <c r="K27">
        <v>457779.11723777099</v>
      </c>
      <c r="L27" t="s">
        <v>44</v>
      </c>
      <c r="M27">
        <v>0</v>
      </c>
      <c r="N27">
        <v>42</v>
      </c>
      <c r="O27">
        <f t="shared" si="2"/>
        <v>0.16538461538461538</v>
      </c>
      <c r="P27">
        <v>78364.878433609498</v>
      </c>
      <c r="Q27">
        <f t="shared" si="3"/>
        <v>1.4104279604146337</v>
      </c>
      <c r="R27">
        <v>1.6925889999838499</v>
      </c>
      <c r="S27">
        <v>201</v>
      </c>
      <c r="T27">
        <f t="shared" si="4"/>
        <v>0.77692307692307694</v>
      </c>
      <c r="U27">
        <v>75416.752624141896</v>
      </c>
      <c r="V27">
        <f t="shared" si="5"/>
        <v>1.3573669571232692</v>
      </c>
      <c r="W27">
        <v>0.45655489992350301</v>
      </c>
      <c r="X27" t="str">
        <f>IF(H27=MIN(H27,P27,U27),"Christofides",IF(P27=MIN(H27,P27,U27),"Arithmetic Series","Nearest Neighbor"))</f>
        <v>Christofides</v>
      </c>
      <c r="Y27">
        <f t="shared" si="6"/>
        <v>70985.551640432197</v>
      </c>
      <c r="Z27">
        <f t="shared" si="7"/>
        <v>1.2776132474185335</v>
      </c>
      <c r="AA27">
        <v>3439</v>
      </c>
      <c r="AB27">
        <v>4230</v>
      </c>
      <c r="AC27">
        <f t="shared" si="8"/>
        <v>0.81300236406619386</v>
      </c>
      <c r="AD27">
        <v>0</v>
      </c>
      <c r="AE27">
        <v>70815.895308883104</v>
      </c>
      <c r="AF27">
        <v>174</v>
      </c>
      <c r="AG27">
        <f t="shared" si="9"/>
        <v>4.1134751773049642E-2</v>
      </c>
      <c r="AH27" s="1">
        <v>7.2759576141834194E-11</v>
      </c>
      <c r="AI27" s="4">
        <v>70662.201674682306</v>
      </c>
      <c r="AJ27" s="4">
        <v>3056</v>
      </c>
      <c r="AK27" s="4">
        <f t="shared" si="10"/>
        <v>0.72245862884160761</v>
      </c>
      <c r="AL27">
        <v>70347.6192091087</v>
      </c>
      <c r="AM27">
        <f t="shared" si="11"/>
        <v>1.2661316021205546</v>
      </c>
      <c r="AN27">
        <v>0.477393400011351</v>
      </c>
      <c r="AO27">
        <v>1</v>
      </c>
      <c r="AP27">
        <f t="shared" si="12"/>
        <v>0.1</v>
      </c>
      <c r="AQ27">
        <v>70985.551640432197</v>
      </c>
      <c r="AR27">
        <f t="shared" si="13"/>
        <v>1.2776132474185335</v>
      </c>
      <c r="AS27">
        <v>19.210544999994401</v>
      </c>
      <c r="AT27">
        <v>68</v>
      </c>
      <c r="AU27">
        <f t="shared" si="14"/>
        <v>0.68</v>
      </c>
      <c r="AV27">
        <v>70859.771510998602</v>
      </c>
      <c r="AW27">
        <f t="shared" si="15"/>
        <v>1.2753494295582404</v>
      </c>
      <c r="AX27">
        <v>12.2199097999982</v>
      </c>
      <c r="AY27" t="str">
        <f>IF(AL27=MIN(AL27,AQ27,AV27),"Simulated Annealing",IF(AQ27=MIN(AL27,AQ27,AV27),"Ant Colony Optimization","Genetic Algorithm"))</f>
        <v>Simulated Annealing</v>
      </c>
      <c r="AZ27">
        <f>MIN(AL27,AQ27,AV27)</f>
        <v>70347.6192091087</v>
      </c>
      <c r="BA27">
        <f>AZ27/F27</f>
        <v>1.2661316021205546</v>
      </c>
      <c r="BB27">
        <v>65230.111114810097</v>
      </c>
      <c r="BC27">
        <f>BB27/F27</f>
        <v>1.1740255892213969</v>
      </c>
      <c r="BD27">
        <v>9.6000000000000002E-2</v>
      </c>
      <c r="BE27">
        <v>5</v>
      </c>
      <c r="BF27">
        <v>5.0359999999999996</v>
      </c>
    </row>
    <row r="28" spans="1:58" x14ac:dyDescent="0.3">
      <c r="A28">
        <v>27</v>
      </c>
      <c r="B28">
        <v>270</v>
      </c>
      <c r="C28">
        <v>0.181906307622866</v>
      </c>
      <c r="D28">
        <v>0.773182190366273</v>
      </c>
      <c r="E28">
        <f t="shared" si="0"/>
        <v>0.8793077904614931</v>
      </c>
      <c r="F28">
        <v>54353.818277426501</v>
      </c>
      <c r="G28">
        <v>1.91204179998021</v>
      </c>
      <c r="H28">
        <v>69820.231133731897</v>
      </c>
      <c r="I28">
        <f t="shared" si="1"/>
        <v>1.2845506230558359</v>
      </c>
      <c r="J28">
        <v>0.380426600007922</v>
      </c>
      <c r="K28">
        <v>497702.84709226398</v>
      </c>
      <c r="L28" t="s">
        <v>44</v>
      </c>
      <c r="M28">
        <v>0</v>
      </c>
      <c r="N28">
        <v>143</v>
      </c>
      <c r="O28">
        <f t="shared" si="2"/>
        <v>0.53333333333333333</v>
      </c>
      <c r="P28">
        <v>71822.181131311198</v>
      </c>
      <c r="Q28">
        <f t="shared" si="3"/>
        <v>1.3213824420710369</v>
      </c>
      <c r="R28">
        <v>1.91204179998021</v>
      </c>
      <c r="S28">
        <v>89</v>
      </c>
      <c r="T28">
        <f t="shared" si="4"/>
        <v>0.33333333333333331</v>
      </c>
      <c r="U28">
        <v>70031.019713711095</v>
      </c>
      <c r="V28">
        <f t="shared" si="5"/>
        <v>1.288428705344431</v>
      </c>
      <c r="W28">
        <v>0.53528329997789104</v>
      </c>
      <c r="X28" t="str">
        <f>IF(H28=MIN(H28,P28,U28),"Christofides",IF(P28=MIN(H28,P28,U28),"Arithmetic Series","Nearest Neighbor"))</f>
        <v>Christofides</v>
      </c>
      <c r="Y28">
        <f t="shared" si="6"/>
        <v>69820.231133731897</v>
      </c>
      <c r="Z28">
        <f t="shared" si="7"/>
        <v>1.2845506230558359</v>
      </c>
      <c r="AA28">
        <v>4204</v>
      </c>
      <c r="AB28">
        <v>4234</v>
      </c>
      <c r="AC28">
        <f t="shared" si="8"/>
        <v>0.99291450165328299</v>
      </c>
      <c r="AD28">
        <v>0</v>
      </c>
      <c r="AE28">
        <v>69820.231133731897</v>
      </c>
      <c r="AF28">
        <v>179</v>
      </c>
      <c r="AG28">
        <f t="shared" si="9"/>
        <v>4.2276806802078411E-2</v>
      </c>
      <c r="AH28" s="1">
        <v>4.3655745685100497E-11</v>
      </c>
      <c r="AI28" s="4">
        <v>69769.824224237906</v>
      </c>
      <c r="AJ28" s="4">
        <v>867</v>
      </c>
      <c r="AK28" s="4">
        <f t="shared" si="10"/>
        <v>0.20477090222012281</v>
      </c>
      <c r="AL28">
        <v>69164.672079149503</v>
      </c>
      <c r="AM28">
        <f t="shared" si="11"/>
        <v>1.272489666248048</v>
      </c>
      <c r="AN28">
        <v>0.47972419999132399</v>
      </c>
      <c r="AO28">
        <v>6</v>
      </c>
      <c r="AP28">
        <f t="shared" si="12"/>
        <v>0.6</v>
      </c>
      <c r="AQ28">
        <v>69619.443415150105</v>
      </c>
      <c r="AR28">
        <f t="shared" si="13"/>
        <v>1.2808565363302824</v>
      </c>
      <c r="AS28">
        <v>16.880906899997999</v>
      </c>
      <c r="AT28">
        <v>91</v>
      </c>
      <c r="AU28">
        <f t="shared" si="14"/>
        <v>0.91</v>
      </c>
      <c r="AV28">
        <v>69645.821301442294</v>
      </c>
      <c r="AW28">
        <f t="shared" si="15"/>
        <v>1.281341835930718</v>
      </c>
      <c r="AX28">
        <v>11.671833100001001</v>
      </c>
      <c r="AY28" t="str">
        <f>IF(AL28=MIN(AL28,AQ28,AV28),"Simulated Annealing",IF(AQ28=MIN(AL28,AQ28,AV28),"Ant Colony Optimization","Genetic Algorithm"))</f>
        <v>Simulated Annealing</v>
      </c>
      <c r="AZ28">
        <f>MIN(AL28,AQ28,AV28)</f>
        <v>69164.672079149503</v>
      </c>
      <c r="BA28">
        <f>AZ28/F28</f>
        <v>1.272489666248048</v>
      </c>
      <c r="BB28">
        <v>62454.330398430502</v>
      </c>
      <c r="BC28">
        <f>BB28/F28</f>
        <v>1.1490329911995933</v>
      </c>
      <c r="BD28">
        <v>0.112</v>
      </c>
      <c r="BE28">
        <v>5</v>
      </c>
      <c r="BF28">
        <v>5.0999999999999996</v>
      </c>
    </row>
    <row r="29" spans="1:58" x14ac:dyDescent="0.3">
      <c r="A29">
        <v>28</v>
      </c>
      <c r="B29">
        <v>280</v>
      </c>
      <c r="C29">
        <v>0.175327107904651</v>
      </c>
      <c r="D29">
        <v>1.53713626876765</v>
      </c>
      <c r="E29">
        <f t="shared" si="0"/>
        <v>1.2398129974990786</v>
      </c>
      <c r="F29">
        <v>55448.120396483697</v>
      </c>
      <c r="G29">
        <v>2.1720479000359698</v>
      </c>
      <c r="H29">
        <v>71287.393085201504</v>
      </c>
      <c r="I29">
        <f t="shared" si="1"/>
        <v>1.2856593257888371</v>
      </c>
      <c r="J29">
        <v>0.36994689999846703</v>
      </c>
      <c r="K29">
        <v>539428.99844833696</v>
      </c>
      <c r="L29" t="s">
        <v>44</v>
      </c>
      <c r="M29">
        <v>0</v>
      </c>
      <c r="N29">
        <v>128</v>
      </c>
      <c r="O29">
        <f t="shared" si="2"/>
        <v>0.46071428571428569</v>
      </c>
      <c r="P29">
        <v>77703.822040927495</v>
      </c>
      <c r="Q29">
        <f t="shared" si="3"/>
        <v>1.4013788291704685</v>
      </c>
      <c r="R29">
        <v>2.1720479000359698</v>
      </c>
      <c r="S29">
        <v>134</v>
      </c>
      <c r="T29">
        <f t="shared" si="4"/>
        <v>0.48214285714285715</v>
      </c>
      <c r="U29">
        <v>72108.218517232497</v>
      </c>
      <c r="V29">
        <f t="shared" si="5"/>
        <v>1.300462811031649</v>
      </c>
      <c r="W29">
        <v>0.58658670005388502</v>
      </c>
      <c r="X29" t="str">
        <f>IF(H29=MIN(H29,P29,U29),"Christofides",IF(P29=MIN(H29,P29,U29),"Arithmetic Series","Nearest Neighbor"))</f>
        <v>Christofides</v>
      </c>
      <c r="Y29">
        <f t="shared" si="6"/>
        <v>71287.393085201504</v>
      </c>
      <c r="Z29">
        <f t="shared" si="7"/>
        <v>1.2856593257888371</v>
      </c>
      <c r="AA29">
        <v>3069</v>
      </c>
      <c r="AB29">
        <v>4237</v>
      </c>
      <c r="AC29">
        <f t="shared" si="8"/>
        <v>0.72433325466131693</v>
      </c>
      <c r="AD29">
        <v>0</v>
      </c>
      <c r="AE29">
        <v>71287.393085201504</v>
      </c>
      <c r="AF29">
        <v>97</v>
      </c>
      <c r="AG29">
        <f t="shared" si="9"/>
        <v>2.2893556761859807E-2</v>
      </c>
      <c r="AH29" s="1">
        <v>2.91038304567337E-11</v>
      </c>
      <c r="AI29" s="4">
        <v>70910.605722393404</v>
      </c>
      <c r="AJ29" s="4">
        <v>1219</v>
      </c>
      <c r="AK29" s="4">
        <f t="shared" si="10"/>
        <v>0.2877035638423413</v>
      </c>
      <c r="AL29">
        <v>70629.728184810199</v>
      </c>
      <c r="AM29">
        <f t="shared" si="11"/>
        <v>1.2737984205735</v>
      </c>
      <c r="AN29">
        <v>0.50981260000844397</v>
      </c>
      <c r="AO29">
        <v>0</v>
      </c>
      <c r="AP29">
        <f t="shared" si="12"/>
        <v>0</v>
      </c>
      <c r="AQ29">
        <v>71287.393085201504</v>
      </c>
      <c r="AR29">
        <f t="shared" si="13"/>
        <v>1.2856593257888371</v>
      </c>
      <c r="AS29">
        <v>27.5665162999939</v>
      </c>
      <c r="AT29">
        <v>90</v>
      </c>
      <c r="AU29">
        <f t="shared" si="14"/>
        <v>0.9</v>
      </c>
      <c r="AV29">
        <v>71261.022921592798</v>
      </c>
      <c r="AW29">
        <f t="shared" si="15"/>
        <v>1.2851837431465376</v>
      </c>
      <c r="AX29">
        <v>13.2755886000086</v>
      </c>
      <c r="AY29" t="str">
        <f>IF(AL29=MIN(AL29,AQ29,AV29),"Simulated Annealing",IF(AQ29=MIN(AL29,AQ29,AV29),"Ant Colony Optimization","Genetic Algorithm"))</f>
        <v>Simulated Annealing</v>
      </c>
      <c r="AZ29">
        <f>MIN(AL29,AQ29,AV29)</f>
        <v>70629.728184810199</v>
      </c>
      <c r="BA29">
        <f>AZ29/F29</f>
        <v>1.2737984205735</v>
      </c>
      <c r="BB29">
        <v>65112.540262700997</v>
      </c>
      <c r="BC29">
        <f>BB29/F29</f>
        <v>1.1742966181199928</v>
      </c>
      <c r="BD29">
        <v>0.112</v>
      </c>
      <c r="BE29">
        <v>5</v>
      </c>
      <c r="BF29">
        <v>5.0979999999999999</v>
      </c>
    </row>
    <row r="30" spans="1:58" x14ac:dyDescent="0.3">
      <c r="A30">
        <v>29</v>
      </c>
      <c r="B30">
        <v>290</v>
      </c>
      <c r="C30">
        <v>0.16033620961627901</v>
      </c>
      <c r="D30">
        <v>0.51190432435690703</v>
      </c>
      <c r="E30">
        <f t="shared" si="0"/>
        <v>0.71547489428833699</v>
      </c>
      <c r="F30">
        <v>57973.428910387898</v>
      </c>
      <c r="G30">
        <v>2.5153357000090102</v>
      </c>
      <c r="H30">
        <v>74375.741103074601</v>
      </c>
      <c r="I30">
        <f t="shared" si="1"/>
        <v>1.2829281017350291</v>
      </c>
      <c r="J30">
        <v>0.41306239999539601</v>
      </c>
      <c r="K30">
        <v>582973.16734337097</v>
      </c>
      <c r="L30" t="s">
        <v>44</v>
      </c>
      <c r="M30">
        <v>1</v>
      </c>
      <c r="N30">
        <v>129</v>
      </c>
      <c r="O30">
        <f t="shared" si="2"/>
        <v>0.44827586206896552</v>
      </c>
      <c r="P30">
        <v>82813.121515496794</v>
      </c>
      <c r="Q30">
        <f t="shared" si="3"/>
        <v>1.4284668523489392</v>
      </c>
      <c r="R30">
        <v>2.5153357000090102</v>
      </c>
      <c r="S30">
        <v>197</v>
      </c>
      <c r="T30">
        <f t="shared" si="4"/>
        <v>0.6827586206896552</v>
      </c>
      <c r="U30">
        <v>77461.366727972898</v>
      </c>
      <c r="V30">
        <f t="shared" si="5"/>
        <v>1.3361529270195207</v>
      </c>
      <c r="W30">
        <v>0.65488970000296798</v>
      </c>
      <c r="X30" t="str">
        <f>IF(H30=MIN(H30,P30,U30),"Christofides",IF(P30=MIN(H30,P30,U30),"Arithmetic Series","Nearest Neighbor"))</f>
        <v>Christofides</v>
      </c>
      <c r="Y30">
        <f t="shared" si="6"/>
        <v>74375.741103074601</v>
      </c>
      <c r="Z30">
        <f t="shared" si="7"/>
        <v>1.2829281017350291</v>
      </c>
      <c r="AA30">
        <v>4132</v>
      </c>
      <c r="AB30">
        <v>4241</v>
      </c>
      <c r="AC30">
        <f t="shared" si="8"/>
        <v>0.9742985145012969</v>
      </c>
      <c r="AD30">
        <v>0</v>
      </c>
      <c r="AE30">
        <v>74027.486455111706</v>
      </c>
      <c r="AF30">
        <v>57</v>
      </c>
      <c r="AG30">
        <f t="shared" si="9"/>
        <v>1.3440226361707145E-2</v>
      </c>
      <c r="AH30">
        <v>0.19132662341871701</v>
      </c>
      <c r="AI30" s="4">
        <v>74027.677781735096</v>
      </c>
      <c r="AJ30" s="4">
        <v>80</v>
      </c>
      <c r="AK30" s="4">
        <f t="shared" si="10"/>
        <v>1.8863475595378449E-2</v>
      </c>
      <c r="AL30">
        <v>73415.252200962204</v>
      </c>
      <c r="AM30">
        <f t="shared" si="11"/>
        <v>1.2663603581986398</v>
      </c>
      <c r="AN30">
        <v>0.52600579999852903</v>
      </c>
      <c r="AO30">
        <v>0</v>
      </c>
      <c r="AP30">
        <f t="shared" si="12"/>
        <v>0</v>
      </c>
      <c r="AQ30">
        <v>74375.741103074601</v>
      </c>
      <c r="AR30">
        <f t="shared" si="13"/>
        <v>1.2829281017350291</v>
      </c>
      <c r="AS30">
        <v>25.267548100004198</v>
      </c>
      <c r="AT30">
        <v>88</v>
      </c>
      <c r="AU30">
        <f t="shared" si="14"/>
        <v>0.88</v>
      </c>
      <c r="AV30">
        <v>73765.253677874804</v>
      </c>
      <c r="AW30">
        <f t="shared" si="15"/>
        <v>1.272397632230742</v>
      </c>
      <c r="AX30">
        <v>14.5699422999896</v>
      </c>
      <c r="AY30" t="str">
        <f>IF(AL30=MIN(AL30,AQ30,AV30),"Simulated Annealing",IF(AQ30=MIN(AL30,AQ30,AV30),"Ant Colony Optimization","Genetic Algorithm"))</f>
        <v>Simulated Annealing</v>
      </c>
      <c r="AZ30">
        <f>MIN(AL30,AQ30,AV30)</f>
        <v>73415.252200962204</v>
      </c>
      <c r="BA30">
        <f>AZ30/F30</f>
        <v>1.2663603581986398</v>
      </c>
      <c r="BB30">
        <v>68583.519073670497</v>
      </c>
      <c r="BC30">
        <f>BB30/F30</f>
        <v>1.183016432919348</v>
      </c>
      <c r="BD30">
        <v>9.6000000000000002E-2</v>
      </c>
      <c r="BE30">
        <v>5</v>
      </c>
      <c r="BF30">
        <v>5</v>
      </c>
    </row>
    <row r="31" spans="1:58" x14ac:dyDescent="0.3">
      <c r="A31">
        <v>30</v>
      </c>
      <c r="B31">
        <v>300</v>
      </c>
      <c r="C31">
        <v>0.14835144827196201</v>
      </c>
      <c r="D31">
        <v>0.57171795936482706</v>
      </c>
      <c r="E31">
        <f t="shared" si="0"/>
        <v>0.75612033391836986</v>
      </c>
      <c r="F31">
        <v>59071.068646703803</v>
      </c>
      <c r="G31">
        <v>2.6187794000143101</v>
      </c>
      <c r="H31">
        <v>76643.143916139306</v>
      </c>
      <c r="I31">
        <f t="shared" si="1"/>
        <v>1.2974734615778114</v>
      </c>
      <c r="J31">
        <v>0.47799289999238598</v>
      </c>
      <c r="K31">
        <v>628340.73493338795</v>
      </c>
      <c r="L31" t="s">
        <v>44</v>
      </c>
      <c r="M31">
        <v>0</v>
      </c>
      <c r="N31">
        <v>258</v>
      </c>
      <c r="O31">
        <f t="shared" si="2"/>
        <v>0.86333333333333329</v>
      </c>
      <c r="P31">
        <v>81708.979569864503</v>
      </c>
      <c r="Q31">
        <f t="shared" si="3"/>
        <v>1.3832317823561824</v>
      </c>
      <c r="R31">
        <v>2.6187794000143101</v>
      </c>
      <c r="S31">
        <v>79</v>
      </c>
      <c r="T31">
        <f t="shared" si="4"/>
        <v>0.26666666666666666</v>
      </c>
      <c r="U31">
        <v>76463.094735496707</v>
      </c>
      <c r="V31">
        <f t="shared" si="5"/>
        <v>1.2944254520400214</v>
      </c>
      <c r="W31">
        <v>0.72297030000481699</v>
      </c>
      <c r="X31" t="str">
        <f>IF(H31=MIN(H31,P31,U31),"Christofides",IF(P31=MIN(H31,P31,U31),"Arithmetic Series","Nearest Neighbor"))</f>
        <v>Nearest Neighbor</v>
      </c>
      <c r="Y31">
        <f t="shared" si="6"/>
        <v>76463.094735496707</v>
      </c>
      <c r="Z31">
        <f t="shared" si="7"/>
        <v>1.2944254520400214</v>
      </c>
      <c r="AA31">
        <v>3857</v>
      </c>
      <c r="AB31">
        <v>4244</v>
      </c>
      <c r="AC31">
        <f t="shared" si="8"/>
        <v>0.90881244109330817</v>
      </c>
      <c r="AD31">
        <v>0</v>
      </c>
      <c r="AE31">
        <v>76463.094735496707</v>
      </c>
      <c r="AF31">
        <v>55</v>
      </c>
      <c r="AG31">
        <f t="shared" si="9"/>
        <v>1.2959472196041471E-2</v>
      </c>
      <c r="AH31" s="1">
        <v>7.2759576141834194E-11</v>
      </c>
      <c r="AI31" s="4">
        <v>75506.457864300799</v>
      </c>
      <c r="AJ31" s="4">
        <v>2891</v>
      </c>
      <c r="AK31" s="4">
        <f t="shared" si="10"/>
        <v>0.68119698397737982</v>
      </c>
      <c r="AL31">
        <v>75368.138875683901</v>
      </c>
      <c r="AM31">
        <f t="shared" si="11"/>
        <v>1.2758892060418054</v>
      </c>
      <c r="AN31">
        <v>0.50016870000399605</v>
      </c>
      <c r="AO31">
        <v>6</v>
      </c>
      <c r="AP31">
        <f t="shared" si="12"/>
        <v>0.6</v>
      </c>
      <c r="AQ31">
        <v>74250.223428026395</v>
      </c>
      <c r="AR31">
        <f t="shared" si="13"/>
        <v>1.2569642826695264</v>
      </c>
      <c r="AS31">
        <v>21.612113800001602</v>
      </c>
      <c r="AT31">
        <v>0</v>
      </c>
      <c r="AU31">
        <f t="shared" si="14"/>
        <v>0</v>
      </c>
      <c r="AV31">
        <v>76463.094735496707</v>
      </c>
      <c r="AW31">
        <f t="shared" si="15"/>
        <v>1.2944254520400214</v>
      </c>
      <c r="AX31">
        <v>16.038843999995098</v>
      </c>
      <c r="AY31" t="str">
        <f>IF(AL31=MIN(AL31,AQ31,AV31),"Simulated Annealing",IF(AQ31=MIN(AL31,AQ31,AV31),"Ant Colony Optimization","Genetic Algorithm"))</f>
        <v>Ant Colony Optimization</v>
      </c>
      <c r="AZ31">
        <f>MIN(AL31,AQ31,AV31)</f>
        <v>74250.223428026395</v>
      </c>
      <c r="BA31">
        <f>AZ31/F31</f>
        <v>1.2569642826695264</v>
      </c>
      <c r="BB31">
        <v>68823.0522898536</v>
      </c>
      <c r="BC31">
        <f>BB31/F31</f>
        <v>1.1650889998532972</v>
      </c>
      <c r="BD31">
        <v>0.112</v>
      </c>
      <c r="BE31">
        <v>5</v>
      </c>
      <c r="BF31">
        <v>5</v>
      </c>
    </row>
    <row r="32" spans="1:58" x14ac:dyDescent="0.3">
      <c r="A32">
        <v>31</v>
      </c>
      <c r="B32">
        <v>310</v>
      </c>
      <c r="C32">
        <v>0.14205980899367901</v>
      </c>
      <c r="D32">
        <v>0.63781319411911996</v>
      </c>
      <c r="E32">
        <f t="shared" si="0"/>
        <v>0.79863207681580128</v>
      </c>
      <c r="F32">
        <v>59045.793975444103</v>
      </c>
      <c r="G32">
        <v>3.0279055000282802</v>
      </c>
      <c r="H32">
        <v>78649.406851870197</v>
      </c>
      <c r="I32">
        <f t="shared" si="1"/>
        <v>1.3320069315111389</v>
      </c>
      <c r="J32">
        <v>0.51749389999895301</v>
      </c>
      <c r="K32">
        <v>675539.671066902</v>
      </c>
      <c r="L32" t="s">
        <v>44</v>
      </c>
      <c r="M32">
        <v>0</v>
      </c>
      <c r="N32">
        <v>17</v>
      </c>
      <c r="O32">
        <f t="shared" si="2"/>
        <v>5.8064516129032261E-2</v>
      </c>
      <c r="P32">
        <v>84779.100847859896</v>
      </c>
      <c r="Q32">
        <f t="shared" si="3"/>
        <v>1.4358194740021233</v>
      </c>
      <c r="R32">
        <v>3.0279055000282802</v>
      </c>
      <c r="S32">
        <v>294</v>
      </c>
      <c r="T32">
        <f t="shared" si="4"/>
        <v>0.95161290322580649</v>
      </c>
      <c r="U32">
        <v>78253.8067811254</v>
      </c>
      <c r="V32">
        <f t="shared" si="5"/>
        <v>1.325307045810401</v>
      </c>
      <c r="W32">
        <v>0.81709570006932997</v>
      </c>
      <c r="X32" t="str">
        <f>IF(H32=MIN(H32,P32,U32),"Christofides",IF(P32=MIN(H32,P32,U32),"Arithmetic Series","Nearest Neighbor"))</f>
        <v>Nearest Neighbor</v>
      </c>
      <c r="Y32">
        <f t="shared" si="6"/>
        <v>78253.8067811254</v>
      </c>
      <c r="Z32">
        <f t="shared" si="7"/>
        <v>1.325307045810401</v>
      </c>
      <c r="AA32">
        <v>4163</v>
      </c>
      <c r="AB32">
        <v>4248</v>
      </c>
      <c r="AC32">
        <f t="shared" si="8"/>
        <v>0.97999058380414317</v>
      </c>
      <c r="AD32">
        <v>0</v>
      </c>
      <c r="AE32">
        <v>77176.555121441197</v>
      </c>
      <c r="AF32">
        <v>2363</v>
      </c>
      <c r="AG32">
        <f t="shared" si="9"/>
        <v>0.55626177024482104</v>
      </c>
      <c r="AH32" s="1">
        <v>4.3655745685100497E-11</v>
      </c>
      <c r="AI32" s="4">
        <v>76847.9675443374</v>
      </c>
      <c r="AJ32" s="4">
        <v>4201</v>
      </c>
      <c r="AK32" s="4">
        <f t="shared" si="10"/>
        <v>0.98893596986817323</v>
      </c>
      <c r="AL32">
        <v>76847.9675443374</v>
      </c>
      <c r="AM32">
        <f t="shared" si="11"/>
        <v>1.3014977421812102</v>
      </c>
      <c r="AN32">
        <v>0.53013499999360603</v>
      </c>
      <c r="AO32">
        <v>8</v>
      </c>
      <c r="AP32">
        <f t="shared" si="12"/>
        <v>0.8</v>
      </c>
      <c r="AQ32">
        <v>77177.711343307703</v>
      </c>
      <c r="AR32">
        <f t="shared" si="13"/>
        <v>1.3070822855799735</v>
      </c>
      <c r="AS32">
        <v>23.2909480000089</v>
      </c>
      <c r="AT32">
        <v>0</v>
      </c>
      <c r="AU32">
        <f t="shared" si="14"/>
        <v>0</v>
      </c>
      <c r="AV32">
        <v>78253.8067811254</v>
      </c>
      <c r="AW32">
        <f t="shared" si="15"/>
        <v>1.325307045810401</v>
      </c>
      <c r="AX32">
        <v>17.880628800004999</v>
      </c>
      <c r="AY32" t="str">
        <f>IF(AL32=MIN(AL32,AQ32,AV32),"Simulated Annealing",IF(AQ32=MIN(AL32,AQ32,AV32),"Ant Colony Optimization","Genetic Algorithm"))</f>
        <v>Simulated Annealing</v>
      </c>
      <c r="AZ32">
        <f>MIN(AL32,AQ32,AV32)</f>
        <v>76847.9675443374</v>
      </c>
      <c r="BA32">
        <f>AZ32/F32</f>
        <v>1.3014977421812102</v>
      </c>
      <c r="BB32">
        <v>69734.266449666902</v>
      </c>
      <c r="BC32">
        <f>BB32/F32</f>
        <v>1.1810200482470929</v>
      </c>
      <c r="BD32">
        <v>0.112</v>
      </c>
      <c r="BE32">
        <v>5</v>
      </c>
      <c r="BF32">
        <v>5</v>
      </c>
    </row>
    <row r="33" spans="1:58" x14ac:dyDescent="0.3">
      <c r="A33">
        <v>32</v>
      </c>
      <c r="B33">
        <v>320</v>
      </c>
      <c r="C33">
        <v>0.130428432558269</v>
      </c>
      <c r="D33">
        <v>0.76051788835536904</v>
      </c>
      <c r="E33">
        <f t="shared" si="0"/>
        <v>0.87207676746681484</v>
      </c>
      <c r="F33">
        <v>59919.2271230763</v>
      </c>
      <c r="G33">
        <v>3.2422922999830899</v>
      </c>
      <c r="H33">
        <v>77025.998559884596</v>
      </c>
      <c r="I33">
        <f t="shared" si="1"/>
        <v>1.2854971977804446</v>
      </c>
      <c r="J33">
        <v>0.58658400000422195</v>
      </c>
      <c r="K33">
        <v>724580.27646624704</v>
      </c>
      <c r="L33" t="s">
        <v>44</v>
      </c>
      <c r="M33" t="s">
        <v>37</v>
      </c>
      <c r="N33">
        <v>77</v>
      </c>
      <c r="O33">
        <f t="shared" si="2"/>
        <v>0.24374999999999999</v>
      </c>
      <c r="P33">
        <v>79153.084470345406</v>
      </c>
      <c r="Q33">
        <f t="shared" si="3"/>
        <v>1.3209964191921577</v>
      </c>
      <c r="R33">
        <v>3.2422922999830899</v>
      </c>
      <c r="S33">
        <v>108</v>
      </c>
      <c r="T33">
        <f t="shared" si="4"/>
        <v>0.34062500000000001</v>
      </c>
      <c r="U33">
        <v>77030.557023361194</v>
      </c>
      <c r="V33">
        <f t="shared" si="5"/>
        <v>1.2855732745874306</v>
      </c>
      <c r="W33">
        <v>0.87575620005372901</v>
      </c>
      <c r="X33" t="str">
        <f>IF(H33=MIN(H33,P33,U33),"Christofides",IF(P33=MIN(H33,P33,U33),"Arithmetic Series","Nearest Neighbor"))</f>
        <v>Christofides</v>
      </c>
      <c r="Y33">
        <f t="shared" si="6"/>
        <v>77025.998559884596</v>
      </c>
      <c r="Z33">
        <f t="shared" si="7"/>
        <v>1.2854971977804446</v>
      </c>
      <c r="AA33">
        <v>3360</v>
      </c>
      <c r="AB33">
        <v>4251</v>
      </c>
      <c r="AC33">
        <f t="shared" si="8"/>
        <v>0.79040225829216659</v>
      </c>
      <c r="AD33">
        <v>0</v>
      </c>
      <c r="AE33">
        <v>77025.998559884596</v>
      </c>
      <c r="AF33">
        <v>215</v>
      </c>
      <c r="AG33">
        <f t="shared" si="9"/>
        <v>5.0576334980004703E-2</v>
      </c>
      <c r="AH33" s="1">
        <v>1.0186340659856701E-10</v>
      </c>
      <c r="AI33" s="4">
        <v>76699.454141026406</v>
      </c>
      <c r="AJ33" s="4">
        <v>879</v>
      </c>
      <c r="AK33" s="4">
        <f t="shared" si="10"/>
        <v>0.20677487649964715</v>
      </c>
      <c r="AL33">
        <v>76217.188300122405</v>
      </c>
      <c r="AM33">
        <f t="shared" si="11"/>
        <v>1.2719988551182326</v>
      </c>
      <c r="AN33">
        <v>0.56834259998868197</v>
      </c>
      <c r="AO33">
        <v>1</v>
      </c>
      <c r="AP33">
        <f t="shared" si="12"/>
        <v>0.1</v>
      </c>
      <c r="AQ33">
        <v>77025.998559884596</v>
      </c>
      <c r="AR33">
        <f t="shared" si="13"/>
        <v>1.2854971977804446</v>
      </c>
      <c r="AS33">
        <v>31.103093099998599</v>
      </c>
      <c r="AT33">
        <v>2</v>
      </c>
      <c r="AU33">
        <f t="shared" si="14"/>
        <v>0.02</v>
      </c>
      <c r="AV33">
        <v>77025.998559884596</v>
      </c>
      <c r="AW33">
        <f t="shared" si="15"/>
        <v>1.2854971977804446</v>
      </c>
      <c r="AX33">
        <v>19.765246599999902</v>
      </c>
      <c r="AY33" t="str">
        <f>IF(AL33=MIN(AL33,AQ33,AV33),"Simulated Annealing",IF(AQ33=MIN(AL33,AQ33,AV33),"Ant Colony Optimization","Genetic Algorithm"))</f>
        <v>Simulated Annealing</v>
      </c>
      <c r="AZ33">
        <f>MIN(AL33,AQ33,AV33)</f>
        <v>76217.188300122405</v>
      </c>
      <c r="BA33">
        <f>AZ33/F33</f>
        <v>1.2719988551182326</v>
      </c>
      <c r="BB33">
        <v>70874.705896639396</v>
      </c>
      <c r="BC33">
        <f>BB33/F33</f>
        <v>1.1828374513419564</v>
      </c>
      <c r="BD33">
        <v>0.112</v>
      </c>
      <c r="BE33">
        <v>5</v>
      </c>
      <c r="BF33">
        <v>5.1070000000000002</v>
      </c>
    </row>
    <row r="34" spans="1:58" x14ac:dyDescent="0.3">
      <c r="A34">
        <v>33</v>
      </c>
      <c r="B34">
        <v>330</v>
      </c>
      <c r="C34">
        <v>0.121966138539397</v>
      </c>
      <c r="D34">
        <v>0.749510476824508</v>
      </c>
      <c r="E34">
        <f t="shared" si="0"/>
        <v>0.86574273131485657</v>
      </c>
      <c r="F34">
        <v>60705.921121145999</v>
      </c>
      <c r="G34">
        <v>3.5332735999254501</v>
      </c>
      <c r="H34">
        <v>81052.576823943396</v>
      </c>
      <c r="I34">
        <f t="shared" si="1"/>
        <v>1.3351675640040646</v>
      </c>
      <c r="J34">
        <v>0.59088290001091004</v>
      </c>
      <c r="K34">
        <v>775478.15193399496</v>
      </c>
      <c r="L34" t="s">
        <v>44</v>
      </c>
      <c r="M34">
        <v>1</v>
      </c>
      <c r="N34">
        <v>245</v>
      </c>
      <c r="O34">
        <f t="shared" si="2"/>
        <v>0.74545454545454548</v>
      </c>
      <c r="P34">
        <v>89430.876720885994</v>
      </c>
      <c r="Q34">
        <f t="shared" si="3"/>
        <v>1.4731821059500254</v>
      </c>
      <c r="R34">
        <v>3.5332735999254501</v>
      </c>
      <c r="S34">
        <v>175</v>
      </c>
      <c r="T34">
        <f t="shared" si="4"/>
        <v>0.53333333333333333</v>
      </c>
      <c r="U34">
        <v>81681.069540322394</v>
      </c>
      <c r="V34">
        <f t="shared" si="5"/>
        <v>1.3455206350846396</v>
      </c>
      <c r="W34">
        <v>1.0534424999495899</v>
      </c>
      <c r="X34" t="str">
        <f>IF(H34=MIN(H34,P34,U34),"Christofides",IF(P34=MIN(H34,P34,U34),"Arithmetic Series","Nearest Neighbor"))</f>
        <v>Christofides</v>
      </c>
      <c r="Y34">
        <f t="shared" si="6"/>
        <v>81052.576823943396</v>
      </c>
      <c r="Z34">
        <f t="shared" si="7"/>
        <v>1.3351675640040646</v>
      </c>
      <c r="AA34">
        <v>4200</v>
      </c>
      <c r="AB34">
        <v>4254</v>
      </c>
      <c r="AC34">
        <f t="shared" si="8"/>
        <v>0.98730606488011285</v>
      </c>
      <c r="AD34">
        <v>0</v>
      </c>
      <c r="AE34">
        <v>81052.576823943498</v>
      </c>
      <c r="AF34">
        <v>46</v>
      </c>
      <c r="AG34">
        <f t="shared" si="9"/>
        <v>1.0813352139163141E-2</v>
      </c>
      <c r="AH34" s="1">
        <v>1.0186340659856701E-10</v>
      </c>
      <c r="AI34" s="4">
        <v>80628.242464853305</v>
      </c>
      <c r="AJ34" s="4">
        <v>4096</v>
      </c>
      <c r="AK34" s="4">
        <f t="shared" si="10"/>
        <v>0.96285848613070046</v>
      </c>
      <c r="AL34">
        <v>80407.986282544007</v>
      </c>
      <c r="AM34">
        <f t="shared" si="11"/>
        <v>1.324549315742696</v>
      </c>
      <c r="AN34">
        <v>0.62796420000085995</v>
      </c>
      <c r="AO34">
        <v>1</v>
      </c>
      <c r="AP34">
        <f t="shared" si="12"/>
        <v>0.1</v>
      </c>
      <c r="AQ34">
        <v>81052.576823943396</v>
      </c>
      <c r="AR34">
        <f t="shared" si="13"/>
        <v>1.3351675640040646</v>
      </c>
      <c r="AS34">
        <v>33.256239199996301</v>
      </c>
      <c r="AT34">
        <v>37</v>
      </c>
      <c r="AU34">
        <f t="shared" si="14"/>
        <v>0.37</v>
      </c>
      <c r="AV34">
        <v>80837.499551468296</v>
      </c>
      <c r="AW34">
        <f t="shared" si="15"/>
        <v>1.3316246267007019</v>
      </c>
      <c r="AX34">
        <v>21.949240399990199</v>
      </c>
      <c r="AY34" t="str">
        <f>IF(AL34=MIN(AL34,AQ34,AV34),"Simulated Annealing",IF(AQ34=MIN(AL34,AQ34,AV34),"Ant Colony Optimization","Genetic Algorithm"))</f>
        <v>Simulated Annealing</v>
      </c>
      <c r="AZ34">
        <f>MIN(AL34,AQ34,AV34)</f>
        <v>80407.986282544007</v>
      </c>
      <c r="BA34">
        <f>AZ34/F34</f>
        <v>1.324549315742696</v>
      </c>
      <c r="BB34">
        <v>70856.183676522996</v>
      </c>
      <c r="BC34">
        <f>BB34/F34</f>
        <v>1.1672038306629253</v>
      </c>
      <c r="BD34">
        <v>9.6000000000000002E-2</v>
      </c>
      <c r="BE34">
        <v>5</v>
      </c>
      <c r="BF34">
        <v>5.0819999999999999</v>
      </c>
    </row>
    <row r="35" spans="1:58" x14ac:dyDescent="0.3">
      <c r="A35">
        <v>34</v>
      </c>
      <c r="B35">
        <v>340</v>
      </c>
      <c r="C35">
        <v>0.113089355364967</v>
      </c>
      <c r="D35">
        <v>0.32561765238984502</v>
      </c>
      <c r="E35">
        <f t="shared" si="0"/>
        <v>0.57062917239643907</v>
      </c>
      <c r="F35">
        <v>62699.895178790197</v>
      </c>
      <c r="G35">
        <v>3.87054120004177</v>
      </c>
      <c r="H35">
        <v>83175.417415614196</v>
      </c>
      <c r="I35">
        <f t="shared" si="1"/>
        <v>1.3265638990055337</v>
      </c>
      <c r="J35">
        <v>0.63875719999487002</v>
      </c>
      <c r="K35">
        <v>828232.39833502704</v>
      </c>
      <c r="L35" t="s">
        <v>44</v>
      </c>
      <c r="M35">
        <v>0</v>
      </c>
      <c r="N35">
        <v>173</v>
      </c>
      <c r="O35">
        <f t="shared" si="2"/>
        <v>0.5117647058823529</v>
      </c>
      <c r="P35">
        <v>88258.768849708096</v>
      </c>
      <c r="Q35">
        <f t="shared" si="3"/>
        <v>1.4076382200964799</v>
      </c>
      <c r="R35">
        <v>3.87054120004177</v>
      </c>
      <c r="S35">
        <v>158</v>
      </c>
      <c r="T35">
        <f t="shared" si="4"/>
        <v>0.46764705882352942</v>
      </c>
      <c r="U35">
        <v>84885.342168064701</v>
      </c>
      <c r="V35">
        <f t="shared" si="5"/>
        <v>1.353835471750187</v>
      </c>
      <c r="W35">
        <v>1.1033740000566401</v>
      </c>
      <c r="X35" t="str">
        <f>IF(H35=MIN(H35,P35,U35),"Christofides",IF(P35=MIN(H35,P35,U35),"Arithmetic Series","Nearest Neighbor"))</f>
        <v>Christofides</v>
      </c>
      <c r="Y35">
        <f t="shared" si="6"/>
        <v>83175.417415614196</v>
      </c>
      <c r="Z35">
        <f t="shared" si="7"/>
        <v>1.3265638990055337</v>
      </c>
      <c r="AA35">
        <v>3560</v>
      </c>
      <c r="AB35">
        <v>4257</v>
      </c>
      <c r="AC35">
        <f t="shared" si="8"/>
        <v>0.83626967347897585</v>
      </c>
      <c r="AD35">
        <v>0</v>
      </c>
      <c r="AE35">
        <v>82981.302599518094</v>
      </c>
      <c r="AF35">
        <v>1179</v>
      </c>
      <c r="AG35">
        <f t="shared" si="9"/>
        <v>0.27695560253699791</v>
      </c>
      <c r="AH35" s="1">
        <v>7.2759576141834194E-11</v>
      </c>
      <c r="AI35" s="4">
        <v>82837.660484241394</v>
      </c>
      <c r="AJ35" s="4">
        <v>2582</v>
      </c>
      <c r="AK35" s="4">
        <f t="shared" si="10"/>
        <v>0.60653042048390882</v>
      </c>
      <c r="AL35">
        <v>82735.673591083498</v>
      </c>
      <c r="AM35">
        <f t="shared" si="11"/>
        <v>1.3195504291540012</v>
      </c>
      <c r="AN35">
        <v>0.57593590000760697</v>
      </c>
      <c r="AO35">
        <v>9</v>
      </c>
      <c r="AP35">
        <f t="shared" si="12"/>
        <v>0.9</v>
      </c>
      <c r="AQ35">
        <v>81042.672229966207</v>
      </c>
      <c r="AR35">
        <f t="shared" si="13"/>
        <v>1.2925487674081617</v>
      </c>
      <c r="AS35">
        <v>34.566423800002603</v>
      </c>
      <c r="AT35">
        <v>100</v>
      </c>
      <c r="AU35">
        <f t="shared" si="14"/>
        <v>1</v>
      </c>
      <c r="AV35">
        <v>82964.9625657141</v>
      </c>
      <c r="AW35">
        <f t="shared" si="15"/>
        <v>1.3232073567130789</v>
      </c>
      <c r="AX35">
        <v>23.989948500005902</v>
      </c>
      <c r="AY35" t="str">
        <f>IF(AL35=MIN(AL35,AQ35,AV35),"Simulated Annealing",IF(AQ35=MIN(AL35,AQ35,AV35),"Ant Colony Optimization","Genetic Algorithm"))</f>
        <v>Ant Colony Optimization</v>
      </c>
      <c r="AZ35">
        <f>MIN(AL35,AQ35,AV35)</f>
        <v>81042.672229966207</v>
      </c>
      <c r="BA35">
        <f>AZ35/F35</f>
        <v>1.2925487674081617</v>
      </c>
      <c r="BB35">
        <v>73077.188505315004</v>
      </c>
      <c r="BC35">
        <f>BB35/F35</f>
        <v>1.1655073472919486</v>
      </c>
      <c r="BD35">
        <v>9.6000000000000002E-2</v>
      </c>
      <c r="BE35">
        <v>5</v>
      </c>
      <c r="BF35">
        <v>5.0990000000000002</v>
      </c>
    </row>
    <row r="36" spans="1:58" x14ac:dyDescent="0.3">
      <c r="A36">
        <v>35</v>
      </c>
      <c r="B36">
        <v>350</v>
      </c>
      <c r="C36">
        <v>0.111659946736681</v>
      </c>
      <c r="D36">
        <v>0.50802159958231297</v>
      </c>
      <c r="E36">
        <f t="shared" si="0"/>
        <v>0.7127563395595391</v>
      </c>
      <c r="F36">
        <v>64837.299956667201</v>
      </c>
      <c r="G36">
        <v>4.4133817000547397</v>
      </c>
      <c r="H36">
        <v>84194.477572659904</v>
      </c>
      <c r="I36">
        <f t="shared" si="1"/>
        <v>1.2985500264343166</v>
      </c>
      <c r="J36">
        <v>0.68532950000371695</v>
      </c>
      <c r="K36">
        <v>882857.20576006698</v>
      </c>
      <c r="L36" t="s">
        <v>44</v>
      </c>
      <c r="M36">
        <v>0</v>
      </c>
      <c r="N36">
        <v>105</v>
      </c>
      <c r="O36">
        <f t="shared" si="2"/>
        <v>0.30285714285714288</v>
      </c>
      <c r="P36">
        <v>89131.629510718703</v>
      </c>
      <c r="Q36">
        <f t="shared" si="3"/>
        <v>1.3746968114077571</v>
      </c>
      <c r="R36">
        <v>4.4133817000547397</v>
      </c>
      <c r="S36">
        <v>250</v>
      </c>
      <c r="T36">
        <f t="shared" si="4"/>
        <v>0.71714285714285719</v>
      </c>
      <c r="U36">
        <v>85816.692421758198</v>
      </c>
      <c r="V36">
        <f t="shared" si="5"/>
        <v>1.3235698044044428</v>
      </c>
      <c r="W36">
        <v>1.1836474000010599</v>
      </c>
      <c r="X36" t="str">
        <f>IF(H36=MIN(H36,P36,U36),"Christofides",IF(P36=MIN(H36,P36,U36),"Arithmetic Series","Nearest Neighbor"))</f>
        <v>Christofides</v>
      </c>
      <c r="Y36">
        <f t="shared" si="6"/>
        <v>84194.477572659904</v>
      </c>
      <c r="Z36">
        <f t="shared" si="7"/>
        <v>1.2985500264343166</v>
      </c>
      <c r="AA36">
        <v>3864</v>
      </c>
      <c r="AB36">
        <v>4260</v>
      </c>
      <c r="AC36">
        <f t="shared" si="8"/>
        <v>0.90704225352112677</v>
      </c>
      <c r="AD36">
        <v>0</v>
      </c>
      <c r="AE36">
        <v>83676.488157528802</v>
      </c>
      <c r="AF36">
        <v>1214</v>
      </c>
      <c r="AG36">
        <f t="shared" si="9"/>
        <v>0.28497652582159627</v>
      </c>
      <c r="AH36" s="1">
        <v>1.7462298274040199E-10</v>
      </c>
      <c r="AI36" s="4">
        <v>83676.488157528802</v>
      </c>
      <c r="AJ36" s="4">
        <v>1214</v>
      </c>
      <c r="AK36" s="4">
        <f t="shared" si="10"/>
        <v>0.28497652582159627</v>
      </c>
      <c r="AL36">
        <v>83365.059611054603</v>
      </c>
      <c r="AM36">
        <f t="shared" si="11"/>
        <v>1.2857577299913798</v>
      </c>
      <c r="AN36">
        <v>0.62208339999779105</v>
      </c>
      <c r="AO36">
        <v>0</v>
      </c>
      <c r="AP36">
        <f t="shared" si="12"/>
        <v>0</v>
      </c>
      <c r="AQ36">
        <v>84194.477572659904</v>
      </c>
      <c r="AR36">
        <f t="shared" si="13"/>
        <v>1.2985500264343166</v>
      </c>
      <c r="AS36">
        <v>38.959539100003802</v>
      </c>
      <c r="AT36">
        <v>83</v>
      </c>
      <c r="AU36">
        <f t="shared" si="14"/>
        <v>0.83</v>
      </c>
      <c r="AV36">
        <v>83792.240506161805</v>
      </c>
      <c r="AW36">
        <f t="shared" si="15"/>
        <v>1.2923462353022532</v>
      </c>
      <c r="AX36">
        <v>25.356576599995599</v>
      </c>
      <c r="AY36" t="str">
        <f>IF(AL36=MIN(AL36,AQ36,AV36),"Simulated Annealing",IF(AQ36=MIN(AL36,AQ36,AV36),"Ant Colony Optimization","Genetic Algorithm"))</f>
        <v>Simulated Annealing</v>
      </c>
      <c r="AZ36">
        <f>MIN(AL36,AQ36,AV36)</f>
        <v>83365.059611054603</v>
      </c>
      <c r="BA36">
        <f>AZ36/F36</f>
        <v>1.2857577299913798</v>
      </c>
      <c r="BB36">
        <v>77714.565009976199</v>
      </c>
      <c r="BC36">
        <f>BB36/F36</f>
        <v>1.1986089035464969</v>
      </c>
      <c r="BD36">
        <v>9.6000000000000002E-2</v>
      </c>
      <c r="BE36">
        <v>5</v>
      </c>
      <c r="BF36">
        <v>5</v>
      </c>
    </row>
    <row r="37" spans="1:58" x14ac:dyDescent="0.3">
      <c r="A37">
        <v>36</v>
      </c>
      <c r="B37">
        <v>360</v>
      </c>
      <c r="C37">
        <v>0.104029357928123</v>
      </c>
      <c r="D37">
        <v>0.76451277831362197</v>
      </c>
      <c r="E37">
        <f t="shared" si="0"/>
        <v>0.87436421376542051</v>
      </c>
      <c r="F37">
        <v>63338.904100104803</v>
      </c>
      <c r="G37">
        <v>4.6907778999302501</v>
      </c>
      <c r="H37">
        <v>84362.245315869906</v>
      </c>
      <c r="I37">
        <f t="shared" si="1"/>
        <v>1.3319182975211963</v>
      </c>
      <c r="J37">
        <v>0.75197300000581802</v>
      </c>
      <c r="K37">
        <v>939367.07965197996</v>
      </c>
      <c r="L37" t="s">
        <v>44</v>
      </c>
      <c r="M37" t="s">
        <v>37</v>
      </c>
      <c r="N37">
        <v>200</v>
      </c>
      <c r="O37">
        <f t="shared" si="2"/>
        <v>0.55833333333333335</v>
      </c>
      <c r="P37">
        <v>87981.748111787398</v>
      </c>
      <c r="Q37">
        <f t="shared" si="3"/>
        <v>1.3890633152214868</v>
      </c>
      <c r="R37">
        <v>4.6907778999302501</v>
      </c>
      <c r="S37">
        <v>169</v>
      </c>
      <c r="T37">
        <f t="shared" si="4"/>
        <v>0.47222222222222221</v>
      </c>
      <c r="U37">
        <v>84918.763086092105</v>
      </c>
      <c r="V37">
        <f t="shared" si="5"/>
        <v>1.3407046473661928</v>
      </c>
      <c r="W37">
        <v>1.32650810002814</v>
      </c>
      <c r="X37" t="str">
        <f>IF(H37=MIN(H37,P37,U37),"Christofides",IF(P37=MIN(H37,P37,U37),"Arithmetic Series","Nearest Neighbor"))</f>
        <v>Christofides</v>
      </c>
      <c r="Y37">
        <f t="shared" si="6"/>
        <v>84362.245315869906</v>
      </c>
      <c r="Z37">
        <f t="shared" si="7"/>
        <v>1.3319182975211963</v>
      </c>
      <c r="AA37">
        <v>3931</v>
      </c>
      <c r="AB37">
        <v>4263</v>
      </c>
      <c r="AC37">
        <f t="shared" si="8"/>
        <v>0.92212057236687783</v>
      </c>
      <c r="AD37">
        <v>0</v>
      </c>
      <c r="AE37">
        <v>83838.105191343304</v>
      </c>
      <c r="AF37">
        <v>778</v>
      </c>
      <c r="AG37">
        <f t="shared" si="9"/>
        <v>0.18250058644147313</v>
      </c>
      <c r="AH37" s="1">
        <v>1.45519152283668E-11</v>
      </c>
      <c r="AI37" s="4">
        <v>83838.105191343304</v>
      </c>
      <c r="AJ37" s="4">
        <v>1158</v>
      </c>
      <c r="AK37" s="4">
        <f t="shared" si="10"/>
        <v>0.27163969035890217</v>
      </c>
      <c r="AL37">
        <v>83216.4512476901</v>
      </c>
      <c r="AM37">
        <f t="shared" si="11"/>
        <v>1.3138284034117416</v>
      </c>
      <c r="AN37">
        <v>0.85604689999308903</v>
      </c>
      <c r="AO37">
        <v>5</v>
      </c>
      <c r="AP37">
        <f t="shared" si="12"/>
        <v>0.5</v>
      </c>
      <c r="AQ37">
        <v>82159.708589328104</v>
      </c>
      <c r="AR37">
        <f t="shared" si="13"/>
        <v>1.2971444605274147</v>
      </c>
      <c r="AS37">
        <v>42.852746699994803</v>
      </c>
      <c r="AT37">
        <v>16</v>
      </c>
      <c r="AU37">
        <f t="shared" si="14"/>
        <v>0.16</v>
      </c>
      <c r="AV37">
        <v>84313.508152370603</v>
      </c>
      <c r="AW37">
        <f t="shared" si="15"/>
        <v>1.3311488310425488</v>
      </c>
      <c r="AX37">
        <v>27.640937000003699</v>
      </c>
      <c r="AY37" t="str">
        <f>IF(AL37=MIN(AL37,AQ37,AV37),"Simulated Annealing",IF(AQ37=MIN(AL37,AQ37,AV37),"Ant Colony Optimization","Genetic Algorithm"))</f>
        <v>Ant Colony Optimization</v>
      </c>
      <c r="AZ37">
        <f>MIN(AL37,AQ37,AV37)</f>
        <v>82159.708589328104</v>
      </c>
      <c r="BA37">
        <f>AZ37/F37</f>
        <v>1.2971444605274147</v>
      </c>
      <c r="BB37">
        <v>75686.979066742599</v>
      </c>
      <c r="BC37">
        <f>BB37/F37</f>
        <v>1.1949524568205683</v>
      </c>
      <c r="BD37">
        <v>0.112</v>
      </c>
      <c r="BE37">
        <v>5</v>
      </c>
      <c r="BF37">
        <v>5.0010000000000003</v>
      </c>
    </row>
    <row r="38" spans="1:58" x14ac:dyDescent="0.3">
      <c r="A38">
        <v>37</v>
      </c>
      <c r="B38">
        <v>370</v>
      </c>
      <c r="C38">
        <v>9.8720969612408005E-2</v>
      </c>
      <c r="D38">
        <v>0.23123090556748899</v>
      </c>
      <c r="E38">
        <f t="shared" si="0"/>
        <v>0.48086474768638321</v>
      </c>
      <c r="F38">
        <v>64337.588612287</v>
      </c>
      <c r="G38">
        <v>5.0207822999218399</v>
      </c>
      <c r="H38">
        <v>84619.7881972217</v>
      </c>
      <c r="I38">
        <f t="shared" si="1"/>
        <v>1.3152464993234338</v>
      </c>
      <c r="J38">
        <v>0.79230719999759402</v>
      </c>
      <c r="K38">
        <v>997759.62242767902</v>
      </c>
      <c r="L38" t="s">
        <v>44</v>
      </c>
      <c r="M38">
        <v>0</v>
      </c>
      <c r="N38">
        <v>359</v>
      </c>
      <c r="O38">
        <f t="shared" si="2"/>
        <v>0.97297297297297303</v>
      </c>
      <c r="P38">
        <v>87689.116474536204</v>
      </c>
      <c r="Q38">
        <f t="shared" si="3"/>
        <v>1.3629531097749223</v>
      </c>
      <c r="R38">
        <v>5.0207822999218399</v>
      </c>
      <c r="S38">
        <v>333</v>
      </c>
      <c r="T38">
        <f t="shared" si="4"/>
        <v>0.9027027027027027</v>
      </c>
      <c r="U38">
        <v>85515.129987761698</v>
      </c>
      <c r="V38">
        <f t="shared" si="5"/>
        <v>1.3291628087445957</v>
      </c>
      <c r="W38">
        <v>1.3894822000292999</v>
      </c>
      <c r="X38" t="str">
        <f>IF(H38=MIN(H38,P38,U38),"Christofides",IF(P38=MIN(H38,P38,U38),"Arithmetic Series","Nearest Neighbor"))</f>
        <v>Christofides</v>
      </c>
      <c r="Y38">
        <f t="shared" si="6"/>
        <v>84619.7881972217</v>
      </c>
      <c r="Z38">
        <f t="shared" si="7"/>
        <v>1.3152464993234338</v>
      </c>
      <c r="AA38">
        <v>4159</v>
      </c>
      <c r="AB38">
        <v>4265</v>
      </c>
      <c r="AC38">
        <f t="shared" si="8"/>
        <v>0.97514654161781944</v>
      </c>
      <c r="AD38">
        <v>0</v>
      </c>
      <c r="AE38">
        <v>84630.865575376301</v>
      </c>
      <c r="AF38">
        <v>192</v>
      </c>
      <c r="AG38">
        <f t="shared" si="9"/>
        <v>4.5017584994138334E-2</v>
      </c>
      <c r="AH38">
        <v>11.0773781545867</v>
      </c>
      <c r="AI38" s="4">
        <v>84630.865575376301</v>
      </c>
      <c r="AJ38" s="4">
        <v>192</v>
      </c>
      <c r="AK38" s="4">
        <f t="shared" si="10"/>
        <v>4.5017584994138334E-2</v>
      </c>
      <c r="AL38">
        <v>83652.812629037799</v>
      </c>
      <c r="AM38">
        <f t="shared" si="11"/>
        <v>1.3002167851386031</v>
      </c>
      <c r="AN38">
        <v>0.92148070000985105</v>
      </c>
      <c r="AO38">
        <v>7</v>
      </c>
      <c r="AP38">
        <f t="shared" si="12"/>
        <v>0.7</v>
      </c>
      <c r="AQ38">
        <v>84361.586976679799</v>
      </c>
      <c r="AR38">
        <f t="shared" si="13"/>
        <v>1.3112332743003781</v>
      </c>
      <c r="AS38">
        <v>44.3860090999951</v>
      </c>
      <c r="AT38">
        <v>42</v>
      </c>
      <c r="AU38">
        <f t="shared" si="14"/>
        <v>0.42</v>
      </c>
      <c r="AV38">
        <v>84562.069458835103</v>
      </c>
      <c r="AW38">
        <f t="shared" si="15"/>
        <v>1.3143493762009864</v>
      </c>
      <c r="AX38">
        <v>32.3365021000063</v>
      </c>
      <c r="AY38" t="str">
        <f>IF(AL38=MIN(AL38,AQ38,AV38),"Simulated Annealing",IF(AQ38=MIN(AL38,AQ38,AV38),"Ant Colony Optimization","Genetic Algorithm"))</f>
        <v>Simulated Annealing</v>
      </c>
      <c r="AZ38">
        <f>MIN(AL38,AQ38,AV38)</f>
        <v>83652.812629037799</v>
      </c>
      <c r="BA38">
        <f>AZ38/F38</f>
        <v>1.3002167851386031</v>
      </c>
      <c r="BB38">
        <v>77525.431616618996</v>
      </c>
      <c r="BC38">
        <f>BB38/F38</f>
        <v>1.204978820138954</v>
      </c>
      <c r="BD38">
        <v>9.6000000000000002E-2</v>
      </c>
      <c r="BE38">
        <v>5</v>
      </c>
      <c r="BF38">
        <v>5</v>
      </c>
    </row>
    <row r="39" spans="1:58" x14ac:dyDescent="0.3">
      <c r="A39">
        <v>38</v>
      </c>
      <c r="B39">
        <v>380</v>
      </c>
      <c r="C39">
        <v>9.3238123942687406E-2</v>
      </c>
      <c r="D39">
        <v>0.21912452109577199</v>
      </c>
      <c r="E39">
        <f t="shared" si="0"/>
        <v>0.46810738201375546</v>
      </c>
      <c r="F39">
        <v>65104.406479405297</v>
      </c>
      <c r="G39">
        <v>5.7296205000020501</v>
      </c>
      <c r="H39">
        <v>82449.627587405004</v>
      </c>
      <c r="I39">
        <f t="shared" si="1"/>
        <v>1.2664216148485523</v>
      </c>
      <c r="J39">
        <v>0.82875539999804404</v>
      </c>
      <c r="K39">
        <v>1058041.6554065601</v>
      </c>
      <c r="L39" t="s">
        <v>44</v>
      </c>
      <c r="M39">
        <v>0</v>
      </c>
      <c r="N39">
        <v>210</v>
      </c>
      <c r="O39">
        <f t="shared" si="2"/>
        <v>0.55526315789473679</v>
      </c>
      <c r="P39">
        <v>90030.367253321703</v>
      </c>
      <c r="Q39">
        <f t="shared" si="3"/>
        <v>1.3828613472085229</v>
      </c>
      <c r="R39">
        <v>5.7296205000020501</v>
      </c>
      <c r="S39">
        <v>165</v>
      </c>
      <c r="T39">
        <f t="shared" si="4"/>
        <v>0.43684210526315792</v>
      </c>
      <c r="U39">
        <v>86716.707392439901</v>
      </c>
      <c r="V39">
        <f t="shared" si="5"/>
        <v>1.3319637192279956</v>
      </c>
      <c r="W39">
        <v>1.5605143000138899</v>
      </c>
      <c r="X39" t="str">
        <f>IF(H39=MIN(H39,P39,U39),"Christofides",IF(P39=MIN(H39,P39,U39),"Arithmetic Series","Nearest Neighbor"))</f>
        <v>Christofides</v>
      </c>
      <c r="Y39">
        <f t="shared" si="6"/>
        <v>82449.627587405004</v>
      </c>
      <c r="Z39">
        <f t="shared" si="7"/>
        <v>1.2664216148485523</v>
      </c>
      <c r="AA39">
        <v>4188</v>
      </c>
      <c r="AB39">
        <v>4268</v>
      </c>
      <c r="AC39">
        <f t="shared" si="8"/>
        <v>0.98125585754451738</v>
      </c>
      <c r="AD39">
        <v>0</v>
      </c>
      <c r="AE39">
        <v>82449.627587405004</v>
      </c>
      <c r="AF39">
        <v>3</v>
      </c>
      <c r="AG39">
        <f t="shared" si="9"/>
        <v>7.0290534208059983E-4</v>
      </c>
      <c r="AH39">
        <v>13.8150963871157</v>
      </c>
      <c r="AI39" s="4">
        <v>82463.442683792193</v>
      </c>
      <c r="AJ39" s="4">
        <v>46</v>
      </c>
      <c r="AK39" s="4">
        <f t="shared" si="10"/>
        <v>1.077788191190253E-2</v>
      </c>
      <c r="AL39">
        <v>81854.160161393898</v>
      </c>
      <c r="AM39">
        <f t="shared" si="11"/>
        <v>1.2572752688758035</v>
      </c>
      <c r="AN39">
        <v>0.95734140000422396</v>
      </c>
      <c r="AO39">
        <v>0</v>
      </c>
      <c r="AP39">
        <f t="shared" si="12"/>
        <v>0</v>
      </c>
      <c r="AQ39">
        <v>82449.627587405004</v>
      </c>
      <c r="AR39">
        <f t="shared" si="13"/>
        <v>1.2664216148485523</v>
      </c>
      <c r="AS39">
        <v>49.815673199991501</v>
      </c>
      <c r="AT39">
        <v>55</v>
      </c>
      <c r="AU39">
        <f t="shared" si="14"/>
        <v>0.55000000000000004</v>
      </c>
      <c r="AV39">
        <v>82374.341128851796</v>
      </c>
      <c r="AW39">
        <f t="shared" si="15"/>
        <v>1.265265219104786</v>
      </c>
      <c r="AX39">
        <v>33.455840599999597</v>
      </c>
      <c r="AY39" t="str">
        <f>IF(AL39=MIN(AL39,AQ39,AV39),"Simulated Annealing",IF(AQ39=MIN(AL39,AQ39,AV39),"Ant Colony Optimization","Genetic Algorithm"))</f>
        <v>Simulated Annealing</v>
      </c>
      <c r="AZ39">
        <f>MIN(AL39,AQ39,AV39)</f>
        <v>81854.160161393898</v>
      </c>
      <c r="BA39">
        <f>AZ39/F39</f>
        <v>1.2572752688758035</v>
      </c>
      <c r="BB39">
        <v>78906.187370925705</v>
      </c>
      <c r="BC39">
        <f>BB39/F39</f>
        <v>1.2119945736067246</v>
      </c>
      <c r="BD39">
        <v>9.6000000000000002E-2</v>
      </c>
      <c r="BE39">
        <v>5</v>
      </c>
      <c r="BF39">
        <v>5.0579999999999998</v>
      </c>
    </row>
    <row r="40" spans="1:58" x14ac:dyDescent="0.3">
      <c r="A40">
        <v>39</v>
      </c>
      <c r="B40">
        <v>390</v>
      </c>
      <c r="C40">
        <v>8.7842444050076698E-2</v>
      </c>
      <c r="D40">
        <v>0.33925796728456298</v>
      </c>
      <c r="E40">
        <f t="shared" si="0"/>
        <v>0.58245855413459502</v>
      </c>
      <c r="F40">
        <v>65100.952569888803</v>
      </c>
      <c r="G40">
        <v>5.8228094000369301</v>
      </c>
      <c r="H40">
        <v>85415.537785175693</v>
      </c>
      <c r="I40">
        <f t="shared" si="1"/>
        <v>1.3120474342288351</v>
      </c>
      <c r="J40">
        <v>0.90610630001174197</v>
      </c>
      <c r="K40">
        <v>1120230.5496420299</v>
      </c>
      <c r="L40" t="s">
        <v>44</v>
      </c>
      <c r="M40">
        <v>0</v>
      </c>
      <c r="N40">
        <v>226</v>
      </c>
      <c r="O40">
        <f t="shared" si="2"/>
        <v>0.58205128205128209</v>
      </c>
      <c r="P40">
        <v>91295.755563792307</v>
      </c>
      <c r="Q40">
        <f t="shared" si="3"/>
        <v>1.4023720385010066</v>
      </c>
      <c r="R40">
        <v>5.8228094000369301</v>
      </c>
      <c r="S40">
        <v>248</v>
      </c>
      <c r="T40">
        <f t="shared" si="4"/>
        <v>0.63846153846153841</v>
      </c>
      <c r="U40">
        <v>86794.6279334883</v>
      </c>
      <c r="V40">
        <f t="shared" si="5"/>
        <v>1.3332313047233888</v>
      </c>
      <c r="W40">
        <v>1.7131553000072</v>
      </c>
      <c r="X40" t="str">
        <f>IF(H40=MIN(H40,P40,U40),"Christofides",IF(P40=MIN(H40,P40,U40),"Arithmetic Series","Nearest Neighbor"))</f>
        <v>Christofides</v>
      </c>
      <c r="Y40">
        <f t="shared" si="6"/>
        <v>85415.537785175693</v>
      </c>
      <c r="Z40">
        <f t="shared" si="7"/>
        <v>1.3120474342288351</v>
      </c>
      <c r="AA40">
        <v>3066</v>
      </c>
      <c r="AB40">
        <v>4271</v>
      </c>
      <c r="AC40">
        <f t="shared" si="8"/>
        <v>0.71786466869585575</v>
      </c>
      <c r="AD40">
        <v>0</v>
      </c>
      <c r="AE40">
        <v>85415.537785175795</v>
      </c>
      <c r="AF40">
        <v>587</v>
      </c>
      <c r="AG40">
        <f t="shared" si="9"/>
        <v>0.13743853898384453</v>
      </c>
      <c r="AH40" s="1">
        <v>1.0186340659856701E-10</v>
      </c>
      <c r="AI40" s="4">
        <v>85415.537785175795</v>
      </c>
      <c r="AJ40" s="4">
        <v>587</v>
      </c>
      <c r="AK40" s="4">
        <f t="shared" si="10"/>
        <v>0.13743853898384453</v>
      </c>
      <c r="AL40">
        <v>83951.522501500207</v>
      </c>
      <c r="AM40">
        <f t="shared" si="11"/>
        <v>1.2895590492531499</v>
      </c>
      <c r="AN40">
        <v>0.96740500000305396</v>
      </c>
      <c r="AO40">
        <v>0</v>
      </c>
      <c r="AP40">
        <f t="shared" si="12"/>
        <v>0</v>
      </c>
      <c r="AQ40">
        <v>85415.537785175693</v>
      </c>
      <c r="AR40">
        <f t="shared" si="13"/>
        <v>1.3120474342288351</v>
      </c>
      <c r="AS40">
        <v>50.882395399996298</v>
      </c>
      <c r="AT40">
        <v>69</v>
      </c>
      <c r="AU40">
        <f t="shared" si="14"/>
        <v>0.69</v>
      </c>
      <c r="AV40">
        <v>85081.0111532585</v>
      </c>
      <c r="AW40">
        <f t="shared" si="15"/>
        <v>1.3069088514783282</v>
      </c>
      <c r="AX40">
        <v>37.540376400007503</v>
      </c>
      <c r="AY40" t="str">
        <f>IF(AL40=MIN(AL40,AQ40,AV40),"Simulated Annealing",IF(AQ40=MIN(AL40,AQ40,AV40),"Ant Colony Optimization","Genetic Algorithm"))</f>
        <v>Simulated Annealing</v>
      </c>
      <c r="AZ40">
        <f>MIN(AL40,AQ40,AV40)</f>
        <v>83951.522501500207</v>
      </c>
      <c r="BA40">
        <f>AZ40/F40</f>
        <v>1.2895590492531499</v>
      </c>
      <c r="BB40">
        <v>78635.624444544606</v>
      </c>
      <c r="BC40">
        <f>BB40/F40</f>
        <v>1.2079028238507834</v>
      </c>
      <c r="BD40">
        <v>0.112</v>
      </c>
      <c r="BE40">
        <v>5</v>
      </c>
      <c r="BF40">
        <v>5</v>
      </c>
    </row>
    <row r="41" spans="1:58" x14ac:dyDescent="0.3">
      <c r="A41">
        <v>40</v>
      </c>
      <c r="B41">
        <v>400</v>
      </c>
      <c r="C41">
        <v>8.6003267524942195E-2</v>
      </c>
      <c r="D41">
        <v>0.33179292490453199</v>
      </c>
      <c r="E41">
        <f t="shared" si="0"/>
        <v>0.57601469157004315</v>
      </c>
      <c r="F41">
        <v>68491.266470217102</v>
      </c>
      <c r="G41">
        <v>6.4128165999427402</v>
      </c>
      <c r="H41">
        <v>90270.142703961697</v>
      </c>
      <c r="I41">
        <f t="shared" si="1"/>
        <v>1.3179803405039234</v>
      </c>
      <c r="J41">
        <v>0.970681899998453</v>
      </c>
      <c r="K41">
        <v>1184327.65986433</v>
      </c>
      <c r="L41" t="s">
        <v>44</v>
      </c>
      <c r="M41" t="s">
        <v>37</v>
      </c>
      <c r="N41">
        <v>86</v>
      </c>
      <c r="O41">
        <f t="shared" si="2"/>
        <v>0.2175</v>
      </c>
      <c r="P41">
        <v>90032.964376995602</v>
      </c>
      <c r="Q41">
        <f t="shared" si="3"/>
        <v>1.3145174416674823</v>
      </c>
      <c r="R41">
        <v>6.4128165999427402</v>
      </c>
      <c r="S41">
        <v>209</v>
      </c>
      <c r="T41">
        <f t="shared" si="4"/>
        <v>0.52500000000000002</v>
      </c>
      <c r="U41">
        <v>88122.906542549303</v>
      </c>
      <c r="V41">
        <f t="shared" si="5"/>
        <v>1.2866298301093448</v>
      </c>
      <c r="W41">
        <v>1.8761330000124801</v>
      </c>
      <c r="X41" t="str">
        <f>IF(H41=MIN(H41,P41,U41),"Christofides",IF(P41=MIN(H41,P41,U41),"Arithmetic Series","Nearest Neighbor"))</f>
        <v>Nearest Neighbor</v>
      </c>
      <c r="Y41">
        <f t="shared" si="6"/>
        <v>88122.906542549303</v>
      </c>
      <c r="Z41">
        <f t="shared" si="7"/>
        <v>1.2866298301093448</v>
      </c>
      <c r="AA41">
        <v>3121</v>
      </c>
      <c r="AB41">
        <v>4273</v>
      </c>
      <c r="AC41">
        <f t="shared" si="8"/>
        <v>0.73040018722209221</v>
      </c>
      <c r="AD41">
        <v>0</v>
      </c>
      <c r="AE41">
        <v>87879.452929764302</v>
      </c>
      <c r="AF41">
        <v>593</v>
      </c>
      <c r="AG41">
        <f t="shared" si="9"/>
        <v>0.13877837584835009</v>
      </c>
      <c r="AH41" s="1">
        <v>7.2759576141834194E-11</v>
      </c>
      <c r="AI41" s="4">
        <v>87879.452929764302</v>
      </c>
      <c r="AJ41" s="4">
        <v>593</v>
      </c>
      <c r="AK41" s="4">
        <f t="shared" si="10"/>
        <v>0.13877837584835009</v>
      </c>
      <c r="AL41">
        <v>87147.725990571606</v>
      </c>
      <c r="AM41">
        <f t="shared" si="11"/>
        <v>1.2723918023689504</v>
      </c>
      <c r="AN41">
        <v>0.71469639999850099</v>
      </c>
      <c r="AO41">
        <v>0</v>
      </c>
      <c r="AP41">
        <f t="shared" si="12"/>
        <v>0</v>
      </c>
      <c r="AQ41">
        <v>88122.906542549303</v>
      </c>
      <c r="AR41">
        <f t="shared" si="13"/>
        <v>1.2866298301093448</v>
      </c>
      <c r="AS41">
        <v>46.975082099990601</v>
      </c>
      <c r="AT41">
        <v>40</v>
      </c>
      <c r="AU41">
        <f t="shared" si="14"/>
        <v>0.4</v>
      </c>
      <c r="AV41">
        <v>88011.001751777294</v>
      </c>
      <c r="AW41">
        <f t="shared" si="15"/>
        <v>1.2849959752174855</v>
      </c>
      <c r="AX41">
        <v>40.0614118000085</v>
      </c>
      <c r="AY41" t="str">
        <f>IF(AL41=MIN(AL41,AQ41,AV41),"Simulated Annealing",IF(AQ41=MIN(AL41,AQ41,AV41),"Ant Colony Optimization","Genetic Algorithm"))</f>
        <v>Simulated Annealing</v>
      </c>
      <c r="AZ41">
        <f>MIN(AL41,AQ41,AV41)</f>
        <v>87147.725990571606</v>
      </c>
      <c r="BA41">
        <f>AZ41/F41</f>
        <v>1.2723918023689504</v>
      </c>
      <c r="BB41">
        <v>81704.494556438105</v>
      </c>
      <c r="BC41">
        <f>BB41/F41</f>
        <v>1.192918437155293</v>
      </c>
      <c r="BD41">
        <v>9.6000000000000002E-2</v>
      </c>
      <c r="BE41">
        <v>5</v>
      </c>
      <c r="BF41">
        <v>5.0209999999999999</v>
      </c>
    </row>
    <row r="42" spans="1:58" x14ac:dyDescent="0.3">
      <c r="A42">
        <v>41</v>
      </c>
      <c r="B42">
        <v>410</v>
      </c>
      <c r="C42">
        <v>8.0430061928112098E-2</v>
      </c>
      <c r="D42">
        <v>0.13006720924382201</v>
      </c>
      <c r="E42">
        <f t="shared" si="0"/>
        <v>0.36064831795507102</v>
      </c>
      <c r="F42">
        <v>66386.708978032606</v>
      </c>
      <c r="G42">
        <v>7.1341634000418699</v>
      </c>
      <c r="H42">
        <v>86970.607129714394</v>
      </c>
      <c r="I42">
        <f t="shared" si="1"/>
        <v>1.3100605297137566</v>
      </c>
      <c r="J42">
        <v>1.05815610004356</v>
      </c>
      <c r="K42">
        <v>1250343.36065602</v>
      </c>
      <c r="L42" t="s">
        <v>44</v>
      </c>
      <c r="M42">
        <v>0</v>
      </c>
      <c r="N42">
        <v>68</v>
      </c>
      <c r="O42">
        <f t="shared" si="2"/>
        <v>0.16829268292682928</v>
      </c>
      <c r="P42">
        <v>94688.566615044896</v>
      </c>
      <c r="Q42">
        <f t="shared" si="3"/>
        <v>1.426318130130195</v>
      </c>
      <c r="R42">
        <v>7.1341634000418699</v>
      </c>
      <c r="S42">
        <v>257</v>
      </c>
      <c r="T42">
        <f t="shared" si="4"/>
        <v>0.62926829268292683</v>
      </c>
      <c r="U42">
        <v>89024.471987047</v>
      </c>
      <c r="V42">
        <f t="shared" si="5"/>
        <v>1.3409984220863431</v>
      </c>
      <c r="W42">
        <v>2.2762461000238501</v>
      </c>
      <c r="X42" t="str">
        <f>IF(H42=MIN(H42,P42,U42),"Christofides",IF(P42=MIN(H42,P42,U42),"Arithmetic Series","Nearest Neighbor"))</f>
        <v>Christofides</v>
      </c>
      <c r="Y42">
        <f t="shared" si="6"/>
        <v>86970.607129714394</v>
      </c>
      <c r="Z42">
        <f t="shared" si="7"/>
        <v>1.3100605297137566</v>
      </c>
      <c r="AA42">
        <v>3412</v>
      </c>
      <c r="AB42">
        <v>4276</v>
      </c>
      <c r="AC42">
        <f t="shared" si="8"/>
        <v>0.79794200187090736</v>
      </c>
      <c r="AD42">
        <v>0</v>
      </c>
      <c r="AE42">
        <v>86970.607129714394</v>
      </c>
      <c r="AF42">
        <v>493</v>
      </c>
      <c r="AG42">
        <f t="shared" si="9"/>
        <v>0.11529466791393826</v>
      </c>
      <c r="AH42" s="1">
        <v>4.3655745685100497E-11</v>
      </c>
      <c r="AI42" s="4">
        <v>86970.607129714394</v>
      </c>
      <c r="AJ42" s="4">
        <v>493</v>
      </c>
      <c r="AK42" s="4">
        <f t="shared" si="10"/>
        <v>0.11529466791393826</v>
      </c>
      <c r="AL42">
        <v>86562.807295210194</v>
      </c>
      <c r="AM42">
        <f t="shared" si="11"/>
        <v>1.303917736362769</v>
      </c>
      <c r="AN42">
        <v>0.76275319996057001</v>
      </c>
      <c r="AO42">
        <v>0</v>
      </c>
      <c r="AP42">
        <f t="shared" si="12"/>
        <v>0</v>
      </c>
      <c r="AQ42">
        <v>86970.607129714394</v>
      </c>
      <c r="AR42">
        <f t="shared" si="13"/>
        <v>1.3100605297137566</v>
      </c>
      <c r="AS42">
        <v>50.699610500014302</v>
      </c>
      <c r="AT42">
        <v>72</v>
      </c>
      <c r="AU42">
        <f t="shared" si="14"/>
        <v>0.72</v>
      </c>
      <c r="AV42">
        <v>86816.510205001905</v>
      </c>
      <c r="AW42">
        <f t="shared" si="15"/>
        <v>1.3077393282702043</v>
      </c>
      <c r="AX42">
        <v>43.219600800017297</v>
      </c>
      <c r="AY42" t="str">
        <f>IF(AL42=MIN(AL42,AQ42,AV42),"Simulated Annealing",IF(AQ42=MIN(AL42,AQ42,AV42),"Ant Colony Optimization","Genetic Algorithm"))</f>
        <v>Simulated Annealing</v>
      </c>
      <c r="AZ42">
        <f>MIN(AL42,AQ42,AV42)</f>
        <v>86562.807295210194</v>
      </c>
      <c r="BA42">
        <f>AZ42/F42</f>
        <v>1.303917736362769</v>
      </c>
      <c r="BB42">
        <v>80807.769664926003</v>
      </c>
      <c r="BC42">
        <f>BB42/F42</f>
        <v>1.2172281305835682</v>
      </c>
      <c r="BD42">
        <v>9.6000000000000002E-2</v>
      </c>
      <c r="BE42">
        <v>5</v>
      </c>
      <c r="BF42">
        <v>5.0380000000000003</v>
      </c>
    </row>
    <row r="43" spans="1:58" x14ac:dyDescent="0.3">
      <c r="A43">
        <v>42</v>
      </c>
      <c r="B43">
        <v>420</v>
      </c>
      <c r="C43">
        <v>7.7378588902191098E-2</v>
      </c>
      <c r="D43">
        <v>0.39782251293681897</v>
      </c>
      <c r="E43">
        <f t="shared" si="0"/>
        <v>0.63073172818308343</v>
      </c>
      <c r="F43">
        <v>68939.009274979398</v>
      </c>
      <c r="G43">
        <v>7.5579230000148501</v>
      </c>
      <c r="H43">
        <v>89428.373192673796</v>
      </c>
      <c r="I43">
        <f t="shared" si="1"/>
        <v>1.2972100140860419</v>
      </c>
      <c r="J43">
        <v>1.12555599998449</v>
      </c>
      <c r="K43">
        <v>1318283.1856416899</v>
      </c>
      <c r="L43" t="s">
        <v>44</v>
      </c>
      <c r="M43" t="s">
        <v>37</v>
      </c>
      <c r="N43">
        <v>43</v>
      </c>
      <c r="O43">
        <f t="shared" si="2"/>
        <v>0.10476190476190476</v>
      </c>
      <c r="P43">
        <v>100047.208667367</v>
      </c>
      <c r="Q43">
        <f t="shared" si="3"/>
        <v>1.4512423331804096</v>
      </c>
      <c r="R43">
        <v>7.5579230000148501</v>
      </c>
      <c r="S43">
        <v>126</v>
      </c>
      <c r="T43">
        <f t="shared" si="4"/>
        <v>0.30238095238095236</v>
      </c>
      <c r="U43">
        <v>90295.602608447705</v>
      </c>
      <c r="V43">
        <f t="shared" si="5"/>
        <v>1.3097896758028902</v>
      </c>
      <c r="W43">
        <v>2.1484826999949198</v>
      </c>
      <c r="X43" t="str">
        <f>IF(H43=MIN(H43,P43,U43),"Christofides",IF(P43=MIN(H43,P43,U43),"Arithmetic Series","Nearest Neighbor"))</f>
        <v>Christofides</v>
      </c>
      <c r="Y43">
        <f t="shared" si="6"/>
        <v>89428.373192673796</v>
      </c>
      <c r="Z43">
        <f t="shared" si="7"/>
        <v>1.2972100140860419</v>
      </c>
      <c r="AA43">
        <v>4148</v>
      </c>
      <c r="AB43">
        <v>4278</v>
      </c>
      <c r="AC43">
        <f t="shared" si="8"/>
        <v>0.96961196820944362</v>
      </c>
      <c r="AD43">
        <v>0</v>
      </c>
      <c r="AE43">
        <v>89428.373192673796</v>
      </c>
      <c r="AF43">
        <v>169</v>
      </c>
      <c r="AG43">
        <f t="shared" si="9"/>
        <v>3.9504441327723232E-2</v>
      </c>
      <c r="AH43" s="1">
        <v>2.91038304567337E-11</v>
      </c>
      <c r="AI43" s="4">
        <v>89025.593014218</v>
      </c>
      <c r="AJ43" s="4">
        <v>3228</v>
      </c>
      <c r="AK43" s="4">
        <f t="shared" si="10"/>
        <v>0.75455820476858348</v>
      </c>
      <c r="AL43">
        <v>89006.752201932497</v>
      </c>
      <c r="AM43">
        <f t="shared" si="11"/>
        <v>1.2910941589965153</v>
      </c>
      <c r="AN43">
        <v>0.76461469999048803</v>
      </c>
      <c r="AO43">
        <v>0</v>
      </c>
      <c r="AP43">
        <f t="shared" si="12"/>
        <v>0</v>
      </c>
      <c r="AQ43">
        <v>89428.373192673796</v>
      </c>
      <c r="AR43">
        <f t="shared" si="13"/>
        <v>1.2972100140860419</v>
      </c>
      <c r="AS43">
        <v>53.065394099976402</v>
      </c>
      <c r="AT43">
        <v>99</v>
      </c>
      <c r="AU43">
        <f t="shared" si="14"/>
        <v>0.99</v>
      </c>
      <c r="AV43">
        <v>89202.235064239605</v>
      </c>
      <c r="AW43">
        <f t="shared" si="15"/>
        <v>1.2939297504035137</v>
      </c>
      <c r="AX43">
        <v>46.116353699995599</v>
      </c>
      <c r="AY43" t="str">
        <f>IF(AL43=MIN(AL43,AQ43,AV43),"Simulated Annealing",IF(AQ43=MIN(AL43,AQ43,AV43),"Ant Colony Optimization","Genetic Algorithm"))</f>
        <v>Simulated Annealing</v>
      </c>
      <c r="AZ43">
        <f>MIN(AL43,AQ43,AV43)</f>
        <v>89006.752201932497</v>
      </c>
      <c r="BA43">
        <f>AZ43/F43</f>
        <v>1.2910941589965153</v>
      </c>
      <c r="BB43">
        <v>84396.566665614897</v>
      </c>
      <c r="BC43">
        <f>BB43/F43</f>
        <v>1.2242207648934931</v>
      </c>
      <c r="BD43">
        <v>0.112</v>
      </c>
      <c r="BE43">
        <v>5</v>
      </c>
      <c r="BF43">
        <v>5.0620000000000003</v>
      </c>
    </row>
    <row r="44" spans="1:58" x14ac:dyDescent="0.3">
      <c r="A44">
        <v>43</v>
      </c>
      <c r="B44">
        <v>430</v>
      </c>
      <c r="C44">
        <v>7.1794578615208798E-2</v>
      </c>
      <c r="D44">
        <v>0.25423509467641298</v>
      </c>
      <c r="E44">
        <f t="shared" si="0"/>
        <v>0.50421730898136863</v>
      </c>
      <c r="F44">
        <v>68995.306172284705</v>
      </c>
      <c r="G44">
        <v>8.3932421999634208</v>
      </c>
      <c r="H44">
        <v>91690.968029079493</v>
      </c>
      <c r="I44">
        <f t="shared" si="1"/>
        <v>1.328945012579879</v>
      </c>
      <c r="J44">
        <v>1.2293969999882299</v>
      </c>
      <c r="K44">
        <v>1388148.38521875</v>
      </c>
      <c r="L44" t="s">
        <v>44</v>
      </c>
      <c r="M44" t="s">
        <v>37</v>
      </c>
      <c r="N44">
        <v>266</v>
      </c>
      <c r="O44">
        <f t="shared" si="2"/>
        <v>0.62093023255813951</v>
      </c>
      <c r="P44">
        <v>94603.300828204505</v>
      </c>
      <c r="Q44">
        <f t="shared" si="3"/>
        <v>1.3711556057447642</v>
      </c>
      <c r="R44">
        <v>8.3932421999634208</v>
      </c>
      <c r="S44">
        <v>395</v>
      </c>
      <c r="T44">
        <f t="shared" si="4"/>
        <v>0.92093023255813955</v>
      </c>
      <c r="U44">
        <v>89766.934323285095</v>
      </c>
      <c r="V44">
        <f t="shared" si="5"/>
        <v>1.3010585691022605</v>
      </c>
      <c r="W44">
        <v>2.3824744999874299</v>
      </c>
      <c r="X44" t="str">
        <f>IF(H44=MIN(H44,P44,U44),"Christofides",IF(P44=MIN(H44,P44,U44),"Arithmetic Series","Nearest Neighbor"))</f>
        <v>Nearest Neighbor</v>
      </c>
      <c r="Y44">
        <f t="shared" si="6"/>
        <v>89766.934323285095</v>
      </c>
      <c r="Z44">
        <f t="shared" si="7"/>
        <v>1.3010585691022605</v>
      </c>
      <c r="AA44">
        <v>3685</v>
      </c>
      <c r="AB44">
        <v>4280</v>
      </c>
      <c r="AC44">
        <f t="shared" si="8"/>
        <v>0.86098130841121501</v>
      </c>
      <c r="AD44">
        <v>0</v>
      </c>
      <c r="AE44">
        <v>89766.934323285095</v>
      </c>
      <c r="AF44">
        <v>2</v>
      </c>
      <c r="AG44">
        <f t="shared" si="9"/>
        <v>4.6728971962616824E-4</v>
      </c>
      <c r="AH44" s="1">
        <v>5.8207660913467401E-11</v>
      </c>
      <c r="AI44" s="4">
        <v>89568.639290288498</v>
      </c>
      <c r="AJ44" s="4">
        <v>2633</v>
      </c>
      <c r="AK44" s="4">
        <f t="shared" si="10"/>
        <v>0.61518691588785046</v>
      </c>
      <c r="AL44">
        <v>89479.554578912401</v>
      </c>
      <c r="AM44">
        <f t="shared" si="11"/>
        <v>1.2968933619263536</v>
      </c>
      <c r="AN44">
        <v>0.77397079998627305</v>
      </c>
      <c r="AO44">
        <v>0</v>
      </c>
      <c r="AP44">
        <f t="shared" si="12"/>
        <v>0</v>
      </c>
      <c r="AQ44">
        <v>89766.934323285095</v>
      </c>
      <c r="AR44">
        <f t="shared" si="13"/>
        <v>1.3010585691022605</v>
      </c>
      <c r="AS44">
        <v>56.589440500014398</v>
      </c>
      <c r="AT44">
        <v>78</v>
      </c>
      <c r="AU44">
        <f t="shared" si="14"/>
        <v>0.78</v>
      </c>
      <c r="AV44">
        <v>89409.261197375003</v>
      </c>
      <c r="AW44">
        <f t="shared" si="15"/>
        <v>1.2958745479600546</v>
      </c>
      <c r="AX44">
        <v>49.274040399992302</v>
      </c>
      <c r="AY44" t="str">
        <f>IF(AL44=MIN(AL44,AQ44,AV44),"Simulated Annealing",IF(AQ44=MIN(AL44,AQ44,AV44),"Ant Colony Optimization","Genetic Algorithm"))</f>
        <v>Genetic Algorithm</v>
      </c>
      <c r="AZ44">
        <f>MIN(AL44,AQ44,AV44)</f>
        <v>89409.261197375003</v>
      </c>
      <c r="BA44">
        <f>AZ44/F44</f>
        <v>1.2958745479600546</v>
      </c>
      <c r="BB44">
        <v>84969.975569454706</v>
      </c>
      <c r="BC44">
        <f>BB44/F44</f>
        <v>1.2315326981415295</v>
      </c>
      <c r="BD44">
        <v>9.6000000000000002E-2</v>
      </c>
      <c r="BE44">
        <v>5</v>
      </c>
      <c r="BF44">
        <v>5</v>
      </c>
    </row>
    <row r="45" spans="1:58" x14ac:dyDescent="0.3">
      <c r="A45">
        <v>44</v>
      </c>
      <c r="B45">
        <v>440</v>
      </c>
      <c r="C45">
        <v>7.0868372449103795E-2</v>
      </c>
      <c r="D45">
        <v>0.16929375113655601</v>
      </c>
      <c r="E45">
        <f t="shared" si="0"/>
        <v>0.41145321864892004</v>
      </c>
      <c r="F45">
        <v>70457.869065727005</v>
      </c>
      <c r="G45">
        <v>8.5992113000247592</v>
      </c>
      <c r="H45">
        <v>90619.449143678605</v>
      </c>
      <c r="I45">
        <f t="shared" si="1"/>
        <v>1.2861508635627876</v>
      </c>
      <c r="J45">
        <v>1.2567497999989401</v>
      </c>
      <c r="K45">
        <v>1459955.1106642999</v>
      </c>
      <c r="L45" t="s">
        <v>44</v>
      </c>
      <c r="M45">
        <v>0</v>
      </c>
      <c r="N45">
        <v>216</v>
      </c>
      <c r="O45">
        <f t="shared" si="2"/>
        <v>0.49318181818181817</v>
      </c>
      <c r="P45">
        <v>95652.066976070302</v>
      </c>
      <c r="Q45">
        <f t="shared" si="3"/>
        <v>1.3575781987791988</v>
      </c>
      <c r="R45">
        <v>8.5992113000247592</v>
      </c>
      <c r="S45">
        <v>76</v>
      </c>
      <c r="T45">
        <f t="shared" si="4"/>
        <v>0.17499999999999999</v>
      </c>
      <c r="U45">
        <v>90737.183566030799</v>
      </c>
      <c r="V45">
        <f t="shared" si="5"/>
        <v>1.2878218539562434</v>
      </c>
      <c r="W45">
        <v>2.9155954000307198</v>
      </c>
      <c r="X45" t="str">
        <f>IF(H45=MIN(H45,P45,U45),"Christofides",IF(P45=MIN(H45,P45,U45),"Arithmetic Series","Nearest Neighbor"))</f>
        <v>Christofides</v>
      </c>
      <c r="Y45">
        <f t="shared" si="6"/>
        <v>90619.449143678605</v>
      </c>
      <c r="Z45">
        <f t="shared" si="7"/>
        <v>1.2861508635627876</v>
      </c>
      <c r="AA45">
        <v>3972</v>
      </c>
      <c r="AB45">
        <v>4283</v>
      </c>
      <c r="AC45">
        <f t="shared" si="8"/>
        <v>0.92738734531870182</v>
      </c>
      <c r="AD45">
        <v>0</v>
      </c>
      <c r="AE45">
        <v>90619.449143678605</v>
      </c>
      <c r="AF45">
        <v>92</v>
      </c>
      <c r="AG45">
        <f t="shared" si="9"/>
        <v>2.1480270838197525E-2</v>
      </c>
      <c r="AH45">
        <v>7.2987959010933903</v>
      </c>
      <c r="AI45" s="4">
        <v>90626.747939579698</v>
      </c>
      <c r="AJ45" s="4">
        <v>569</v>
      </c>
      <c r="AK45" s="4">
        <f t="shared" si="10"/>
        <v>0.13285080551015643</v>
      </c>
      <c r="AL45">
        <v>90215.464088153603</v>
      </c>
      <c r="AM45">
        <f t="shared" si="11"/>
        <v>1.2804171526106702</v>
      </c>
      <c r="AN45">
        <v>1.1837669999804299</v>
      </c>
      <c r="AO45">
        <v>0</v>
      </c>
      <c r="AP45">
        <f t="shared" si="12"/>
        <v>0</v>
      </c>
      <c r="AQ45">
        <v>90619.449143678605</v>
      </c>
      <c r="AR45">
        <f t="shared" si="13"/>
        <v>1.2861508635627876</v>
      </c>
      <c r="AS45">
        <v>66.639661599998306</v>
      </c>
      <c r="AT45">
        <v>71</v>
      </c>
      <c r="AU45">
        <f t="shared" si="14"/>
        <v>0.71</v>
      </c>
      <c r="AV45">
        <v>90406.668318318305</v>
      </c>
      <c r="AW45">
        <f t="shared" si="15"/>
        <v>1.2831308910858765</v>
      </c>
      <c r="AX45">
        <v>53.524510699964502</v>
      </c>
      <c r="AY45" t="str">
        <f>IF(AL45=MIN(AL45,AQ45,AV45),"Simulated Annealing",IF(AQ45=MIN(AL45,AQ45,AV45),"Ant Colony Optimization","Genetic Algorithm"))</f>
        <v>Simulated Annealing</v>
      </c>
      <c r="AZ45">
        <f>MIN(AL45,AQ45,AV45)</f>
        <v>90215.464088153603</v>
      </c>
      <c r="BA45">
        <f>AZ45/F45</f>
        <v>1.2804171526106702</v>
      </c>
      <c r="BB45">
        <v>86151.555098727797</v>
      </c>
      <c r="BC45">
        <f>BB45/F45</f>
        <v>1.2227385846478107</v>
      </c>
      <c r="BD45">
        <v>0.08</v>
      </c>
      <c r="BE45">
        <v>5</v>
      </c>
      <c r="BF45">
        <v>5</v>
      </c>
    </row>
    <row r="46" spans="1:58" x14ac:dyDescent="0.3">
      <c r="A46">
        <v>45</v>
      </c>
      <c r="B46">
        <v>450</v>
      </c>
      <c r="C46">
        <v>6.6600038204464196E-2</v>
      </c>
      <c r="D46">
        <v>0.106717629420128</v>
      </c>
      <c r="E46">
        <f t="shared" si="0"/>
        <v>0.32667664351791054</v>
      </c>
      <c r="F46">
        <v>71140.296307644603</v>
      </c>
      <c r="G46">
        <v>10.5158747999812</v>
      </c>
      <c r="H46">
        <v>95452.532566635404</v>
      </c>
      <c r="I46">
        <f t="shared" si="1"/>
        <v>1.3417505622109456</v>
      </c>
      <c r="J46">
        <v>2.0746581000275901</v>
      </c>
      <c r="K46">
        <v>1533711.86682922</v>
      </c>
      <c r="L46" t="s">
        <v>44</v>
      </c>
      <c r="M46">
        <v>0</v>
      </c>
      <c r="N46">
        <v>200</v>
      </c>
      <c r="O46">
        <f t="shared" si="2"/>
        <v>0.44666666666666666</v>
      </c>
      <c r="P46">
        <v>101480.122480793</v>
      </c>
      <c r="Q46">
        <f t="shared" si="3"/>
        <v>1.4264787714960379</v>
      </c>
      <c r="R46">
        <v>10.5158747999812</v>
      </c>
      <c r="S46">
        <v>151</v>
      </c>
      <c r="T46">
        <f t="shared" si="4"/>
        <v>0.33777777777777779</v>
      </c>
      <c r="U46">
        <v>93120.327808202506</v>
      </c>
      <c r="V46">
        <f t="shared" si="5"/>
        <v>1.3089673875619769</v>
      </c>
      <c r="W46">
        <v>3.9983431000145999</v>
      </c>
      <c r="X46" t="str">
        <f>IF(H46=MIN(H46,P46,U46),"Christofides",IF(P46=MIN(H46,P46,U46),"Arithmetic Series","Nearest Neighbor"))</f>
        <v>Nearest Neighbor</v>
      </c>
      <c r="Y46">
        <f t="shared" si="6"/>
        <v>93120.327808202506</v>
      </c>
      <c r="Z46">
        <f t="shared" si="7"/>
        <v>1.3089673875619769</v>
      </c>
      <c r="AA46">
        <v>3878</v>
      </c>
      <c r="AB46">
        <v>4285</v>
      </c>
      <c r="AC46">
        <f t="shared" si="8"/>
        <v>0.90501750291715288</v>
      </c>
      <c r="AD46">
        <v>0</v>
      </c>
      <c r="AE46">
        <v>92992.137039682304</v>
      </c>
      <c r="AF46">
        <v>1747</v>
      </c>
      <c r="AG46">
        <f t="shared" si="9"/>
        <v>0.40770128354725788</v>
      </c>
      <c r="AH46" s="1">
        <v>1.6007106751203501E-10</v>
      </c>
      <c r="AI46" s="4">
        <v>92992.137039682304</v>
      </c>
      <c r="AJ46" s="4">
        <v>1747</v>
      </c>
      <c r="AK46" s="4">
        <f t="shared" si="10"/>
        <v>0.40770128354725788</v>
      </c>
      <c r="AL46">
        <v>92533.183885883394</v>
      </c>
      <c r="AM46">
        <f t="shared" si="11"/>
        <v>1.3007140634574494</v>
      </c>
      <c r="AN46">
        <v>1.2160595000023</v>
      </c>
      <c r="AO46">
        <v>0</v>
      </c>
      <c r="AP46">
        <f t="shared" si="12"/>
        <v>0</v>
      </c>
      <c r="AQ46">
        <v>93120.327808202506</v>
      </c>
      <c r="AR46">
        <f t="shared" si="13"/>
        <v>1.3089673875619769</v>
      </c>
      <c r="AS46">
        <v>63.9372483000042</v>
      </c>
      <c r="AT46">
        <v>76</v>
      </c>
      <c r="AU46">
        <f t="shared" si="14"/>
        <v>0.76</v>
      </c>
      <c r="AV46">
        <v>92761.660167406502</v>
      </c>
      <c r="AW46">
        <f t="shared" si="15"/>
        <v>1.3039256930595398</v>
      </c>
      <c r="AX46">
        <v>57.259095999994301</v>
      </c>
      <c r="AY46" t="str">
        <f>IF(AL46=MIN(AL46,AQ46,AV46),"Simulated Annealing",IF(AQ46=MIN(AL46,AQ46,AV46),"Ant Colony Optimization","Genetic Algorithm"))</f>
        <v>Simulated Annealing</v>
      </c>
      <c r="AZ46">
        <f>MIN(AL46,AQ46,AV46)</f>
        <v>92533.183885883394</v>
      </c>
      <c r="BA46">
        <f>AZ46/F46</f>
        <v>1.3007140634574494</v>
      </c>
      <c r="BB46">
        <v>88147.883490816996</v>
      </c>
      <c r="BC46">
        <f>BB46/F46</f>
        <v>1.239071075971113</v>
      </c>
      <c r="BD46">
        <v>0.112</v>
      </c>
      <c r="BE46">
        <v>5</v>
      </c>
      <c r="BF46">
        <v>5</v>
      </c>
    </row>
    <row r="47" spans="1:58" x14ac:dyDescent="0.3">
      <c r="A47">
        <v>46</v>
      </c>
      <c r="B47">
        <v>460</v>
      </c>
      <c r="C47">
        <v>6.4588281055610805E-2</v>
      </c>
      <c r="D47">
        <v>0.19962350411110499</v>
      </c>
      <c r="E47">
        <f t="shared" si="0"/>
        <v>0.44679246201240347</v>
      </c>
      <c r="F47">
        <v>71411.195429498504</v>
      </c>
      <c r="G47">
        <v>9.7111430999939294</v>
      </c>
      <c r="H47">
        <v>90373.094933559696</v>
      </c>
      <c r="I47">
        <f t="shared" si="1"/>
        <v>1.2655311872321411</v>
      </c>
      <c r="J47">
        <v>1.38983090000692</v>
      </c>
      <c r="K47">
        <v>1609415.9400267601</v>
      </c>
      <c r="L47" t="s">
        <v>44</v>
      </c>
      <c r="M47">
        <v>0</v>
      </c>
      <c r="N47">
        <v>379</v>
      </c>
      <c r="O47">
        <f t="shared" si="2"/>
        <v>0.82608695652173914</v>
      </c>
      <c r="P47">
        <v>100720.521627329</v>
      </c>
      <c r="Q47">
        <f t="shared" si="3"/>
        <v>1.4104304097074869</v>
      </c>
      <c r="R47">
        <v>9.7111430999939294</v>
      </c>
      <c r="S47">
        <v>413</v>
      </c>
      <c r="T47">
        <f t="shared" si="4"/>
        <v>0.9</v>
      </c>
      <c r="U47">
        <v>94989.575470845695</v>
      </c>
      <c r="V47">
        <f t="shared" si="5"/>
        <v>1.3301776409082131</v>
      </c>
      <c r="W47">
        <v>3.17959179996978</v>
      </c>
      <c r="X47" t="str">
        <f>IF(H47=MIN(H47,P47,U47),"Christofides",IF(P47=MIN(H47,P47,U47),"Arithmetic Series","Nearest Neighbor"))</f>
        <v>Christofides</v>
      </c>
      <c r="Y47">
        <f t="shared" si="6"/>
        <v>90373.094933559696</v>
      </c>
      <c r="Z47">
        <f t="shared" si="7"/>
        <v>1.2655311872321411</v>
      </c>
      <c r="AA47">
        <v>3711</v>
      </c>
      <c r="AB47">
        <v>4287</v>
      </c>
      <c r="AC47">
        <f t="shared" si="8"/>
        <v>0.86564030790762769</v>
      </c>
      <c r="AD47">
        <v>0</v>
      </c>
      <c r="AE47">
        <v>90373.094933559696</v>
      </c>
      <c r="AF47">
        <v>37</v>
      </c>
      <c r="AG47">
        <f t="shared" si="9"/>
        <v>8.6307441101003031E-3</v>
      </c>
      <c r="AH47" s="1">
        <v>2.91038304567337E-11</v>
      </c>
      <c r="AI47" s="4">
        <v>90373.094933559696</v>
      </c>
      <c r="AJ47" s="4">
        <v>37</v>
      </c>
      <c r="AK47" s="4">
        <f t="shared" si="10"/>
        <v>8.6307441101003031E-3</v>
      </c>
      <c r="AL47">
        <v>90358.768112118894</v>
      </c>
      <c r="AM47">
        <f t="shared" si="11"/>
        <v>1.2653305629273017</v>
      </c>
      <c r="AN47">
        <v>0.86396039999090102</v>
      </c>
      <c r="AO47">
        <v>0</v>
      </c>
      <c r="AP47">
        <f t="shared" si="12"/>
        <v>0</v>
      </c>
      <c r="AQ47">
        <v>90373.094933559696</v>
      </c>
      <c r="AR47">
        <f t="shared" si="13"/>
        <v>1.2655311872321411</v>
      </c>
      <c r="AS47">
        <v>68.237834999978006</v>
      </c>
      <c r="AT47">
        <v>0</v>
      </c>
      <c r="AU47">
        <f t="shared" si="14"/>
        <v>0</v>
      </c>
      <c r="AV47">
        <v>90373.094933559696</v>
      </c>
      <c r="AW47">
        <f t="shared" si="15"/>
        <v>1.2655311872321411</v>
      </c>
      <c r="AX47">
        <v>60.326255500025503</v>
      </c>
      <c r="AY47" t="str">
        <f>IF(AL47=MIN(AL47,AQ47,AV47),"Simulated Annealing",IF(AQ47=MIN(AL47,AQ47,AV47),"Ant Colony Optimization","Genetic Algorithm"))</f>
        <v>Simulated Annealing</v>
      </c>
      <c r="AZ47">
        <f>MIN(AL47,AQ47,AV47)</f>
        <v>90358.768112118894</v>
      </c>
      <c r="BA47">
        <f>AZ47/F47</f>
        <v>1.2653305629273017</v>
      </c>
      <c r="BB47">
        <v>89929.925716839207</v>
      </c>
      <c r="BC47">
        <f>BB47/F47</f>
        <v>1.2593253085312586</v>
      </c>
      <c r="BD47">
        <v>0.112</v>
      </c>
      <c r="BE47">
        <v>5</v>
      </c>
      <c r="BF47">
        <v>5.0190000000000001</v>
      </c>
    </row>
    <row r="48" spans="1:58" x14ac:dyDescent="0.3">
      <c r="A48">
        <v>47</v>
      </c>
      <c r="B48">
        <v>470</v>
      </c>
      <c r="C48">
        <v>6.12455660572414E-2</v>
      </c>
      <c r="D48">
        <v>0.12971767528237901</v>
      </c>
      <c r="E48">
        <f t="shared" si="0"/>
        <v>0.36016340080910358</v>
      </c>
      <c r="F48">
        <v>72412.619982132805</v>
      </c>
      <c r="G48">
        <v>11.1877963999868</v>
      </c>
      <c r="H48">
        <v>97928.993580037801</v>
      </c>
      <c r="I48">
        <f t="shared" si="1"/>
        <v>1.3523746772896899</v>
      </c>
      <c r="J48">
        <v>1.65268609998747</v>
      </c>
      <c r="K48">
        <v>1687073.6439629099</v>
      </c>
      <c r="L48" t="s">
        <v>44</v>
      </c>
      <c r="M48">
        <v>0</v>
      </c>
      <c r="N48">
        <v>269</v>
      </c>
      <c r="O48">
        <f t="shared" si="2"/>
        <v>0.57446808510638303</v>
      </c>
      <c r="P48">
        <v>100258.795527437</v>
      </c>
      <c r="Q48">
        <f t="shared" si="3"/>
        <v>1.384548653980135</v>
      </c>
      <c r="R48">
        <v>11.1877963999868</v>
      </c>
      <c r="S48">
        <v>336</v>
      </c>
      <c r="T48">
        <f t="shared" si="4"/>
        <v>0.71702127659574466</v>
      </c>
      <c r="U48">
        <v>96553.512504162005</v>
      </c>
      <c r="V48">
        <f t="shared" si="5"/>
        <v>1.3333796308983954</v>
      </c>
      <c r="W48">
        <v>3.2393608000129399</v>
      </c>
      <c r="X48" t="str">
        <f>IF(H48=MIN(H48,P48,U48),"Christofides",IF(P48=MIN(H48,P48,U48),"Arithmetic Series","Nearest Neighbor"))</f>
        <v>Nearest Neighbor</v>
      </c>
      <c r="Y48">
        <f t="shared" si="6"/>
        <v>96553.512504162005</v>
      </c>
      <c r="Z48">
        <f t="shared" si="7"/>
        <v>1.3333796308983954</v>
      </c>
      <c r="AA48">
        <v>3453</v>
      </c>
      <c r="AB48">
        <v>4289</v>
      </c>
      <c r="AC48">
        <f t="shared" si="8"/>
        <v>0.80508276987642802</v>
      </c>
      <c r="AD48">
        <v>0</v>
      </c>
      <c r="AE48">
        <v>96553.512504162005</v>
      </c>
      <c r="AF48">
        <v>324</v>
      </c>
      <c r="AG48">
        <f t="shared" si="9"/>
        <v>7.5542084401958504E-2</v>
      </c>
      <c r="AH48" s="1">
        <v>1.45519152283668E-10</v>
      </c>
      <c r="AI48" s="4">
        <v>96087.306285096303</v>
      </c>
      <c r="AJ48" s="4">
        <v>2394</v>
      </c>
      <c r="AK48" s="4">
        <f t="shared" si="10"/>
        <v>0.55817206808113784</v>
      </c>
      <c r="AL48">
        <v>95987.906760744299</v>
      </c>
      <c r="AM48">
        <f t="shared" si="11"/>
        <v>1.325568758379803</v>
      </c>
      <c r="AN48">
        <v>0.85877689998596896</v>
      </c>
      <c r="AO48">
        <v>1</v>
      </c>
      <c r="AP48">
        <f t="shared" si="12"/>
        <v>0.1</v>
      </c>
      <c r="AQ48">
        <v>96553.512504162005</v>
      </c>
      <c r="AR48">
        <f t="shared" si="13"/>
        <v>1.3333796308983954</v>
      </c>
      <c r="AS48">
        <v>72.509130599966696</v>
      </c>
      <c r="AT48">
        <v>62</v>
      </c>
      <c r="AU48">
        <f t="shared" si="14"/>
        <v>0.62</v>
      </c>
      <c r="AV48">
        <v>95952.439902857994</v>
      </c>
      <c r="AW48">
        <f t="shared" si="15"/>
        <v>1.325078970026681</v>
      </c>
      <c r="AX48">
        <v>65.1643596999929</v>
      </c>
      <c r="AY48" t="str">
        <f>IF(AL48=MIN(AL48,AQ48,AV48),"Simulated Annealing",IF(AQ48=MIN(AL48,AQ48,AV48),"Ant Colony Optimization","Genetic Algorithm"))</f>
        <v>Genetic Algorithm</v>
      </c>
      <c r="AZ48">
        <f>MIN(AL48,AQ48,AV48)</f>
        <v>95952.439902857994</v>
      </c>
      <c r="BA48">
        <f>AZ48/F48</f>
        <v>1.325078970026681</v>
      </c>
      <c r="BB48">
        <v>90291.400324600298</v>
      </c>
      <c r="BC48">
        <f>BB48/F48</f>
        <v>1.2469014426888425</v>
      </c>
      <c r="BD48">
        <v>0.112</v>
      </c>
      <c r="BE48">
        <v>5</v>
      </c>
      <c r="BF48">
        <v>5.024</v>
      </c>
    </row>
    <row r="49" spans="1:58" x14ac:dyDescent="0.3">
      <c r="A49">
        <v>48</v>
      </c>
      <c r="B49">
        <v>480</v>
      </c>
      <c r="C49">
        <v>5.83073946312316E-2</v>
      </c>
      <c r="D49">
        <v>0.121325206375603</v>
      </c>
      <c r="E49">
        <f t="shared" si="0"/>
        <v>0.34831768025123705</v>
      </c>
      <c r="F49">
        <v>74111.406401670902</v>
      </c>
      <c r="G49">
        <v>11.5187012999667</v>
      </c>
      <c r="H49">
        <v>97152.123262336798</v>
      </c>
      <c r="I49">
        <f t="shared" si="1"/>
        <v>1.3108929917722683</v>
      </c>
      <c r="J49">
        <v>1.59881859994493</v>
      </c>
      <c r="K49">
        <v>1766697.9741054799</v>
      </c>
      <c r="L49" t="s">
        <v>44</v>
      </c>
      <c r="M49" t="s">
        <v>37</v>
      </c>
      <c r="N49">
        <v>264</v>
      </c>
      <c r="O49">
        <f t="shared" si="2"/>
        <v>0.55208333333333337</v>
      </c>
      <c r="P49">
        <v>104964.25098934901</v>
      </c>
      <c r="Q49">
        <f t="shared" si="3"/>
        <v>1.4163035905763421</v>
      </c>
      <c r="R49">
        <v>11.5187012999667</v>
      </c>
      <c r="S49">
        <v>440</v>
      </c>
      <c r="T49">
        <f t="shared" si="4"/>
        <v>0.91874999999999996</v>
      </c>
      <c r="U49">
        <v>98314.867500480206</v>
      </c>
      <c r="V49">
        <f t="shared" si="5"/>
        <v>1.3265821318736115</v>
      </c>
      <c r="W49">
        <v>3.4496912999893499</v>
      </c>
      <c r="X49" t="str">
        <f>IF(H49=MIN(H49,P49,U49),"Christofides",IF(P49=MIN(H49,P49,U49),"Arithmetic Series","Nearest Neighbor"))</f>
        <v>Christofides</v>
      </c>
      <c r="Y49">
        <f t="shared" si="6"/>
        <v>97152.123262336798</v>
      </c>
      <c r="Z49">
        <f t="shared" si="7"/>
        <v>1.3108929917722683</v>
      </c>
      <c r="AA49">
        <v>4087</v>
      </c>
      <c r="AB49">
        <v>4291</v>
      </c>
      <c r="AC49">
        <f t="shared" si="8"/>
        <v>0.95245863435096711</v>
      </c>
      <c r="AD49">
        <v>0</v>
      </c>
      <c r="AE49">
        <v>97152.123262336798</v>
      </c>
      <c r="AF49">
        <v>636</v>
      </c>
      <c r="AG49">
        <f t="shared" si="9"/>
        <v>0.14821719878816128</v>
      </c>
      <c r="AH49" s="1">
        <v>2.91038304567337E-11</v>
      </c>
      <c r="AI49" s="4">
        <v>97152.123262336798</v>
      </c>
      <c r="AJ49" s="4">
        <v>704</v>
      </c>
      <c r="AK49" s="4">
        <f t="shared" si="10"/>
        <v>0.16406432067117221</v>
      </c>
      <c r="AL49">
        <v>97073.133404659704</v>
      </c>
      <c r="AM49">
        <f t="shared" si="11"/>
        <v>1.3098271658554184</v>
      </c>
      <c r="AN49">
        <v>0.88576600002124894</v>
      </c>
      <c r="AO49">
        <v>1</v>
      </c>
      <c r="AP49">
        <f t="shared" si="12"/>
        <v>0.1</v>
      </c>
      <c r="AQ49">
        <v>97152.123262336696</v>
      </c>
      <c r="AR49">
        <f t="shared" si="13"/>
        <v>1.3108929917722669</v>
      </c>
      <c r="AS49">
        <v>77.995608599972897</v>
      </c>
      <c r="AT49">
        <v>59</v>
      </c>
      <c r="AU49">
        <f t="shared" si="14"/>
        <v>0.59</v>
      </c>
      <c r="AV49">
        <v>96895.111699402798</v>
      </c>
      <c r="AW49">
        <f t="shared" si="15"/>
        <v>1.3074250834513677</v>
      </c>
      <c r="AX49">
        <v>69.544137799995895</v>
      </c>
      <c r="AY49" t="str">
        <f>IF(AL49=MIN(AL49,AQ49,AV49),"Simulated Annealing",IF(AQ49=MIN(AL49,AQ49,AV49),"Ant Colony Optimization","Genetic Algorithm"))</f>
        <v>Genetic Algorithm</v>
      </c>
      <c r="AZ49">
        <f>MIN(AL49,AQ49,AV49)</f>
        <v>96895.111699402798</v>
      </c>
      <c r="BA49">
        <f>AZ49/F49</f>
        <v>1.3074250834513677</v>
      </c>
      <c r="BB49">
        <v>92790.8607156613</v>
      </c>
      <c r="BC49">
        <f>BB49/F49</f>
        <v>1.2520456056757445</v>
      </c>
      <c r="BD49">
        <v>9.6000000000000002E-2</v>
      </c>
      <c r="BE49">
        <v>5</v>
      </c>
      <c r="BF49">
        <v>5.0529999999999999</v>
      </c>
    </row>
    <row r="50" spans="1:58" x14ac:dyDescent="0.3">
      <c r="A50">
        <v>49</v>
      </c>
      <c r="B50">
        <v>490</v>
      </c>
      <c r="C50">
        <v>5.7548593323836897E-2</v>
      </c>
      <c r="D50">
        <v>0.13095387606853601</v>
      </c>
      <c r="E50">
        <f t="shared" si="0"/>
        <v>0.36187549802181412</v>
      </c>
      <c r="F50">
        <v>74647.456121854295</v>
      </c>
      <c r="G50">
        <v>12.823286800005</v>
      </c>
      <c r="H50">
        <v>100151.27866122899</v>
      </c>
      <c r="I50">
        <f t="shared" si="1"/>
        <v>1.341656954762696</v>
      </c>
      <c r="J50">
        <v>1.6026261000079101</v>
      </c>
      <c r="K50">
        <v>1848290.6468306701</v>
      </c>
      <c r="L50" t="s">
        <v>44</v>
      </c>
      <c r="M50">
        <v>1</v>
      </c>
      <c r="N50">
        <v>272</v>
      </c>
      <c r="O50">
        <f t="shared" si="2"/>
        <v>0.55714285714285716</v>
      </c>
      <c r="P50">
        <v>107344.052630569</v>
      </c>
      <c r="Q50">
        <f t="shared" si="3"/>
        <v>1.438013540010538</v>
      </c>
      <c r="R50">
        <v>12.823286800005</v>
      </c>
      <c r="S50">
        <v>398</v>
      </c>
      <c r="T50">
        <f t="shared" si="4"/>
        <v>0.81428571428571428</v>
      </c>
      <c r="U50">
        <v>97974.644510575803</v>
      </c>
      <c r="V50">
        <f t="shared" si="5"/>
        <v>1.3124981024221678</v>
      </c>
      <c r="W50">
        <v>3.6954045000020401</v>
      </c>
      <c r="X50" t="str">
        <f>IF(H50=MIN(H50,P50,U50),"Christofides",IF(P50=MIN(H50,P50,U50),"Arithmetic Series","Nearest Neighbor"))</f>
        <v>Nearest Neighbor</v>
      </c>
      <c r="Y50">
        <f t="shared" si="6"/>
        <v>97974.644510575803</v>
      </c>
      <c r="Z50">
        <f t="shared" si="7"/>
        <v>1.3124981024221678</v>
      </c>
      <c r="AA50">
        <v>4285</v>
      </c>
      <c r="AB50">
        <v>4293</v>
      </c>
      <c r="AC50">
        <f t="shared" si="8"/>
        <v>0.99813650128115539</v>
      </c>
      <c r="AD50">
        <v>0</v>
      </c>
      <c r="AE50">
        <v>97926.842302570803</v>
      </c>
      <c r="AF50">
        <v>308</v>
      </c>
      <c r="AG50">
        <f t="shared" si="9"/>
        <v>7.1744700675518289E-2</v>
      </c>
      <c r="AH50" s="1">
        <v>8.7311491370201098E-11</v>
      </c>
      <c r="AI50" s="4">
        <v>97040.885434297394</v>
      </c>
      <c r="AJ50" s="4">
        <v>3395</v>
      </c>
      <c r="AK50" s="4">
        <f t="shared" si="10"/>
        <v>0.7908222688096902</v>
      </c>
      <c r="AL50">
        <v>96731.036102633007</v>
      </c>
      <c r="AM50">
        <f t="shared" si="11"/>
        <v>1.29583834638289</v>
      </c>
      <c r="AN50">
        <v>0.94418910000240397</v>
      </c>
      <c r="AO50">
        <v>0</v>
      </c>
      <c r="AP50">
        <f t="shared" si="12"/>
        <v>0</v>
      </c>
      <c r="AQ50">
        <v>97974.644510575803</v>
      </c>
      <c r="AR50">
        <f t="shared" si="13"/>
        <v>1.3124981024221678</v>
      </c>
      <c r="AS50">
        <v>81.027977699995901</v>
      </c>
      <c r="AT50">
        <v>98</v>
      </c>
      <c r="AU50">
        <f t="shared" si="14"/>
        <v>0.98</v>
      </c>
      <c r="AV50">
        <v>97860.183496895203</v>
      </c>
      <c r="AW50">
        <f t="shared" si="15"/>
        <v>1.3109647479098085</v>
      </c>
      <c r="AX50">
        <v>74.132688799989396</v>
      </c>
      <c r="AY50" t="str">
        <f>IF(AL50=MIN(AL50,AQ50,AV50),"Simulated Annealing",IF(AQ50=MIN(AL50,AQ50,AV50),"Ant Colony Optimization","Genetic Algorithm"))</f>
        <v>Simulated Annealing</v>
      </c>
      <c r="AZ50">
        <f>MIN(AL50,AQ50,AV50)</f>
        <v>96731.036102633007</v>
      </c>
      <c r="BA50">
        <f>AZ50/F50</f>
        <v>1.29583834638289</v>
      </c>
      <c r="BB50">
        <v>95320.831514454199</v>
      </c>
      <c r="BC50">
        <f>BB50/F50</f>
        <v>1.2769468173014864</v>
      </c>
      <c r="BD50">
        <v>0.112</v>
      </c>
      <c r="BE50">
        <v>5</v>
      </c>
      <c r="BF50">
        <v>5.016</v>
      </c>
    </row>
    <row r="51" spans="1:58" x14ac:dyDescent="0.3">
      <c r="A51">
        <v>50</v>
      </c>
      <c r="B51">
        <v>500</v>
      </c>
      <c r="C51">
        <v>5.5262960962019297E-2</v>
      </c>
      <c r="D51">
        <v>0.26110543245020901</v>
      </c>
      <c r="E51">
        <f t="shared" si="0"/>
        <v>0.51098476733676612</v>
      </c>
      <c r="F51">
        <v>76239.5459509395</v>
      </c>
      <c r="G51">
        <v>12.6836571999592</v>
      </c>
      <c r="H51">
        <v>99771.931094965606</v>
      </c>
      <c r="I51">
        <f t="shared" si="1"/>
        <v>1.3086637630183331</v>
      </c>
      <c r="J51">
        <v>1.71107319998554</v>
      </c>
      <c r="K51">
        <v>1931860.32052673</v>
      </c>
      <c r="L51" t="s">
        <v>44</v>
      </c>
      <c r="M51" t="s">
        <v>37</v>
      </c>
      <c r="N51">
        <v>277</v>
      </c>
      <c r="O51">
        <f t="shared" si="2"/>
        <v>0.55600000000000005</v>
      </c>
      <c r="P51">
        <v>108546.021864483</v>
      </c>
      <c r="Q51">
        <f t="shared" si="3"/>
        <v>1.4237495844260781</v>
      </c>
      <c r="R51">
        <v>12.6836571999592</v>
      </c>
      <c r="S51">
        <v>27</v>
      </c>
      <c r="T51">
        <f t="shared" si="4"/>
        <v>5.6000000000000001E-2</v>
      </c>
      <c r="U51">
        <v>102804.742467348</v>
      </c>
      <c r="V51">
        <f t="shared" si="5"/>
        <v>1.3484437923266663</v>
      </c>
      <c r="W51">
        <v>3.7483834000304301</v>
      </c>
      <c r="X51" t="str">
        <f>IF(H51=MIN(H51,P51,U51),"Christofides",IF(P51=MIN(H51,P51,U51),"Arithmetic Series","Nearest Neighbor"))</f>
        <v>Christofides</v>
      </c>
      <c r="Y51">
        <f t="shared" si="6"/>
        <v>99771.931094965606</v>
      </c>
      <c r="Z51">
        <f t="shared" si="7"/>
        <v>1.3086637630183331</v>
      </c>
      <c r="AA51">
        <v>4033</v>
      </c>
      <c r="AB51">
        <v>4295</v>
      </c>
      <c r="AC51">
        <f t="shared" si="8"/>
        <v>0.93899883585564614</v>
      </c>
      <c r="AD51">
        <v>0</v>
      </c>
      <c r="AE51">
        <v>99773.671077872903</v>
      </c>
      <c r="AF51">
        <v>189</v>
      </c>
      <c r="AG51">
        <f t="shared" si="9"/>
        <v>4.4004656577415598E-2</v>
      </c>
      <c r="AH51">
        <v>1.7399829072674</v>
      </c>
      <c r="AI51" s="4">
        <v>99773.671077872903</v>
      </c>
      <c r="AJ51" s="4">
        <v>189</v>
      </c>
      <c r="AK51" s="4">
        <f t="shared" si="10"/>
        <v>4.4004656577415598E-2</v>
      </c>
      <c r="AL51">
        <v>99269.250482427597</v>
      </c>
      <c r="AM51">
        <f t="shared" si="11"/>
        <v>1.3020703264196749</v>
      </c>
      <c r="AN51">
        <v>0.91590590000851002</v>
      </c>
      <c r="AO51">
        <v>1</v>
      </c>
      <c r="AP51">
        <f t="shared" si="12"/>
        <v>0.1</v>
      </c>
      <c r="AQ51">
        <v>99771.931094965606</v>
      </c>
      <c r="AR51">
        <f t="shared" si="13"/>
        <v>1.3086637630183331</v>
      </c>
      <c r="AS51">
        <v>85.569607300043501</v>
      </c>
      <c r="AT51">
        <v>91</v>
      </c>
      <c r="AU51">
        <f t="shared" si="14"/>
        <v>0.91</v>
      </c>
      <c r="AV51">
        <v>99680.8096326659</v>
      </c>
      <c r="AW51">
        <f t="shared" si="15"/>
        <v>1.3074685635826184</v>
      </c>
      <c r="AX51">
        <v>79.276027000043499</v>
      </c>
      <c r="AY51" t="str">
        <f>IF(AL51=MIN(AL51,AQ51,AV51),"Simulated Annealing",IF(AQ51=MIN(AL51,AQ51,AV51),"Ant Colony Optimization","Genetic Algorithm"))</f>
        <v>Simulated Annealing</v>
      </c>
      <c r="AZ51">
        <f>MIN(AL51,AQ51,AV51)</f>
        <v>99269.250482427597</v>
      </c>
      <c r="BA51">
        <f>AZ51/F51</f>
        <v>1.3020703264196749</v>
      </c>
      <c r="BB51">
        <v>97974.3048773505</v>
      </c>
      <c r="BC51">
        <f>BB51/F51</f>
        <v>1.2850851045256411</v>
      </c>
      <c r="BD51">
        <v>9.6000000000000002E-2</v>
      </c>
      <c r="BE51">
        <v>5</v>
      </c>
      <c r="BF51">
        <v>5.0270000000000001</v>
      </c>
    </row>
    <row r="52" spans="1:58" x14ac:dyDescent="0.3">
      <c r="A52">
        <v>51</v>
      </c>
      <c r="B52">
        <v>510</v>
      </c>
      <c r="C52">
        <v>5.1084316442469302E-2</v>
      </c>
      <c r="D52">
        <v>9.7427336285146895E-2</v>
      </c>
      <c r="E52">
        <f t="shared" si="0"/>
        <v>0.31213352316780535</v>
      </c>
      <c r="F52">
        <v>74335.289320444703</v>
      </c>
      <c r="G52">
        <v>13.6011328999884</v>
      </c>
      <c r="H52">
        <v>97598.280483108407</v>
      </c>
      <c r="I52">
        <f t="shared" si="1"/>
        <v>1.3129468032656948</v>
      </c>
      <c r="J52">
        <v>1.7640006000292401</v>
      </c>
      <c r="K52">
        <v>2017404.51191868</v>
      </c>
      <c r="L52" t="s">
        <v>44</v>
      </c>
      <c r="M52">
        <v>0</v>
      </c>
      <c r="N52">
        <v>430</v>
      </c>
      <c r="O52">
        <f t="shared" si="2"/>
        <v>0.84509803921568627</v>
      </c>
      <c r="P52">
        <v>105024.709595366</v>
      </c>
      <c r="Q52">
        <f t="shared" si="3"/>
        <v>1.4128512925082632</v>
      </c>
      <c r="R52">
        <v>13.6011328999884</v>
      </c>
      <c r="S52">
        <v>40</v>
      </c>
      <c r="T52">
        <f t="shared" si="4"/>
        <v>8.0392156862745104E-2</v>
      </c>
      <c r="U52">
        <v>101315.980384537</v>
      </c>
      <c r="V52">
        <f t="shared" si="5"/>
        <v>1.3629593872673837</v>
      </c>
      <c r="W52">
        <v>4.0571847999817603</v>
      </c>
      <c r="X52" t="str">
        <f>IF(H52=MIN(H52,P52,U52),"Christofides",IF(P52=MIN(H52,P52,U52),"Arithmetic Series","Nearest Neighbor"))</f>
        <v>Christofides</v>
      </c>
      <c r="Y52">
        <f t="shared" si="6"/>
        <v>97598.280483108407</v>
      </c>
      <c r="Z52">
        <f t="shared" si="7"/>
        <v>1.3129468032656948</v>
      </c>
      <c r="AA52">
        <v>3855</v>
      </c>
      <c r="AB52">
        <v>4297</v>
      </c>
      <c r="AC52">
        <f t="shared" si="8"/>
        <v>0.89713753781708172</v>
      </c>
      <c r="AD52">
        <v>0</v>
      </c>
      <c r="AE52">
        <v>97607.259888893503</v>
      </c>
      <c r="AF52">
        <v>58</v>
      </c>
      <c r="AG52">
        <f t="shared" si="9"/>
        <v>1.3497789155224576E-2</v>
      </c>
      <c r="AH52">
        <v>8.9794057851104299</v>
      </c>
      <c r="AI52" s="4">
        <v>97607.259888893503</v>
      </c>
      <c r="AJ52" s="4">
        <v>423</v>
      </c>
      <c r="AK52" s="4">
        <f t="shared" si="10"/>
        <v>9.8440772632068879E-2</v>
      </c>
      <c r="AL52">
        <v>97479.886229400799</v>
      </c>
      <c r="AM52">
        <f t="shared" si="11"/>
        <v>1.3113540973679987</v>
      </c>
      <c r="AN52">
        <v>0.95434649998787702</v>
      </c>
      <c r="AO52">
        <v>1</v>
      </c>
      <c r="AP52">
        <f t="shared" si="12"/>
        <v>0.1</v>
      </c>
      <c r="AQ52">
        <v>97598.280483108407</v>
      </c>
      <c r="AR52">
        <f t="shared" si="13"/>
        <v>1.3129468032656948</v>
      </c>
      <c r="AS52">
        <v>89.2543360000127</v>
      </c>
      <c r="AT52">
        <v>45</v>
      </c>
      <c r="AU52">
        <f t="shared" si="14"/>
        <v>0.45</v>
      </c>
      <c r="AV52">
        <v>97450.699894252393</v>
      </c>
      <c r="AW52">
        <f t="shared" si="15"/>
        <v>1.3109614664195592</v>
      </c>
      <c r="AX52">
        <v>82.385307599965003</v>
      </c>
      <c r="AY52" t="str">
        <f>IF(AL52=MIN(AL52,AQ52,AV52),"Simulated Annealing",IF(AQ52=MIN(AL52,AQ52,AV52),"Ant Colony Optimization","Genetic Algorithm"))</f>
        <v>Genetic Algorithm</v>
      </c>
      <c r="AZ52">
        <f>MIN(AL52,AQ52,AV52)</f>
        <v>97450.699894252393</v>
      </c>
      <c r="BA52">
        <f>AZ52/F52</f>
        <v>1.3109614664195592</v>
      </c>
      <c r="BB52">
        <v>95151.118965946007</v>
      </c>
      <c r="BC52">
        <f>BB52/F52</f>
        <v>1.2800262141412861</v>
      </c>
      <c r="BD52">
        <v>0.112</v>
      </c>
      <c r="BE52">
        <v>5</v>
      </c>
      <c r="BF52">
        <v>5.0190000000000001</v>
      </c>
    </row>
    <row r="53" spans="1:58" x14ac:dyDescent="0.3">
      <c r="A53">
        <v>52</v>
      </c>
      <c r="B53">
        <v>520</v>
      </c>
      <c r="C53">
        <v>5.0848325318267697E-2</v>
      </c>
      <c r="D53">
        <v>0.10582755051300601</v>
      </c>
      <c r="E53">
        <f t="shared" si="0"/>
        <v>0.32531146692517005</v>
      </c>
      <c r="F53">
        <v>77000.699436869298</v>
      </c>
      <c r="G53">
        <v>14.341104300052301</v>
      </c>
      <c r="H53">
        <v>100381.693625555</v>
      </c>
      <c r="I53">
        <f t="shared" si="1"/>
        <v>1.3036465169755389</v>
      </c>
      <c r="J53">
        <v>1.8775449999957301</v>
      </c>
      <c r="K53">
        <v>2104948.82668303</v>
      </c>
      <c r="L53" t="s">
        <v>44</v>
      </c>
      <c r="M53">
        <v>0</v>
      </c>
      <c r="N53">
        <v>196</v>
      </c>
      <c r="O53">
        <f t="shared" si="2"/>
        <v>0.37884615384615383</v>
      </c>
      <c r="P53">
        <v>104695.43731956701</v>
      </c>
      <c r="Q53">
        <f t="shared" si="3"/>
        <v>1.3596686534698796</v>
      </c>
      <c r="R53">
        <v>14.341104300052301</v>
      </c>
      <c r="S53">
        <v>287</v>
      </c>
      <c r="T53">
        <f t="shared" si="4"/>
        <v>0.55384615384615388</v>
      </c>
      <c r="U53">
        <v>102742.794318688</v>
      </c>
      <c r="V53">
        <f t="shared" si="5"/>
        <v>1.3343098838072753</v>
      </c>
      <c r="W53">
        <v>4.3342962000169702</v>
      </c>
      <c r="X53" t="str">
        <f>IF(H53=MIN(H53,P53,U53),"Christofides",IF(P53=MIN(H53,P53,U53),"Arithmetic Series","Nearest Neighbor"))</f>
        <v>Christofides</v>
      </c>
      <c r="Y53">
        <f t="shared" si="6"/>
        <v>100381.693625555</v>
      </c>
      <c r="Z53">
        <f t="shared" si="7"/>
        <v>1.3036465169755389</v>
      </c>
      <c r="AA53">
        <v>3612</v>
      </c>
      <c r="AB53">
        <v>4299</v>
      </c>
      <c r="AC53">
        <f t="shared" si="8"/>
        <v>0.84019539427773904</v>
      </c>
      <c r="AD53">
        <v>0</v>
      </c>
      <c r="AE53">
        <v>100381.693625555</v>
      </c>
      <c r="AF53">
        <v>940</v>
      </c>
      <c r="AG53">
        <f t="shared" si="9"/>
        <v>0.21865550127936728</v>
      </c>
      <c r="AH53" s="1">
        <v>1.16415321826934E-10</v>
      </c>
      <c r="AI53" s="4">
        <v>100289.952306059</v>
      </c>
      <c r="AJ53" s="4">
        <v>3390</v>
      </c>
      <c r="AK53" s="4">
        <f t="shared" si="10"/>
        <v>0.78855547801814374</v>
      </c>
      <c r="AL53">
        <v>100154.708884583</v>
      </c>
      <c r="AM53">
        <f t="shared" si="11"/>
        <v>1.3006986899735504</v>
      </c>
      <c r="AN53">
        <v>0.98121070000343003</v>
      </c>
      <c r="AO53">
        <v>8</v>
      </c>
      <c r="AP53">
        <f t="shared" si="12"/>
        <v>0.8</v>
      </c>
      <c r="AQ53">
        <v>100379.171511248</v>
      </c>
      <c r="AR53">
        <f t="shared" si="13"/>
        <v>1.3036137625418072</v>
      </c>
      <c r="AS53">
        <v>94.945338300021803</v>
      </c>
      <c r="AT53">
        <v>52</v>
      </c>
      <c r="AU53">
        <f t="shared" si="14"/>
        <v>0.52</v>
      </c>
      <c r="AV53">
        <v>100044.720070271</v>
      </c>
      <c r="AW53">
        <f t="shared" si="15"/>
        <v>1.2992702767887823</v>
      </c>
      <c r="AX53">
        <v>87.368779200012796</v>
      </c>
      <c r="AY53" t="str">
        <f>IF(AL53=MIN(AL53,AQ53,AV53),"Simulated Annealing",IF(AQ53=MIN(AL53,AQ53,AV53),"Ant Colony Optimization","Genetic Algorithm"))</f>
        <v>Genetic Algorithm</v>
      </c>
      <c r="AZ53">
        <f>MIN(AL53,AQ53,AV53)</f>
        <v>100044.720070271</v>
      </c>
      <c r="BA53">
        <f>AZ53/F53</f>
        <v>1.2992702767887823</v>
      </c>
      <c r="BB53">
        <v>99452.333741336101</v>
      </c>
      <c r="BC53">
        <f>BB53/F53</f>
        <v>1.2915770177240307</v>
      </c>
      <c r="BD53">
        <v>0.112</v>
      </c>
      <c r="BE53">
        <v>5</v>
      </c>
      <c r="BF53">
        <v>5.0030000000000001</v>
      </c>
    </row>
    <row r="54" spans="1:58" x14ac:dyDescent="0.3">
      <c r="A54">
        <v>53</v>
      </c>
      <c r="B54">
        <v>530</v>
      </c>
      <c r="C54">
        <v>4.9546146211435098E-2</v>
      </c>
      <c r="D54">
        <v>0.17068307332618399</v>
      </c>
      <c r="E54">
        <f t="shared" si="0"/>
        <v>0.41313808021796294</v>
      </c>
      <c r="F54">
        <v>77635.415011138801</v>
      </c>
      <c r="G54">
        <v>15.5414237999939</v>
      </c>
      <c r="H54">
        <v>99870.672332560498</v>
      </c>
      <c r="I54">
        <f t="shared" si="1"/>
        <v>1.2864061114148932</v>
      </c>
      <c r="J54">
        <v>1.9857329999795099</v>
      </c>
      <c r="K54">
        <v>2194476.5147432899</v>
      </c>
      <c r="L54" t="s">
        <v>44</v>
      </c>
      <c r="M54">
        <v>0</v>
      </c>
      <c r="N54">
        <v>128</v>
      </c>
      <c r="O54">
        <f t="shared" si="2"/>
        <v>0.24339622641509434</v>
      </c>
      <c r="P54">
        <v>106877.673028722</v>
      </c>
      <c r="Q54">
        <f t="shared" si="3"/>
        <v>1.3766613215552159</v>
      </c>
      <c r="R54">
        <v>15.5414237999939</v>
      </c>
      <c r="S54">
        <v>54</v>
      </c>
      <c r="T54">
        <f t="shared" si="4"/>
        <v>0.10377358490566038</v>
      </c>
      <c r="U54">
        <v>100638.605627711</v>
      </c>
      <c r="V54">
        <f t="shared" si="5"/>
        <v>1.2962976447446286</v>
      </c>
      <c r="W54">
        <v>4.5640149999526303</v>
      </c>
      <c r="X54" t="str">
        <f>IF(H54=MIN(H54,P54,U54),"Christofides",IF(P54=MIN(H54,P54,U54),"Arithmetic Series","Nearest Neighbor"))</f>
        <v>Christofides</v>
      </c>
      <c r="Y54">
        <f t="shared" si="6"/>
        <v>99870.672332560498</v>
      </c>
      <c r="Z54">
        <f t="shared" si="7"/>
        <v>1.2864061114148932</v>
      </c>
      <c r="AA54">
        <v>3773</v>
      </c>
      <c r="AB54">
        <v>4301</v>
      </c>
      <c r="AC54">
        <f t="shared" si="8"/>
        <v>0.87723785166240409</v>
      </c>
      <c r="AD54">
        <v>0</v>
      </c>
      <c r="AE54">
        <v>99346.904885352706</v>
      </c>
      <c r="AF54">
        <v>220</v>
      </c>
      <c r="AG54">
        <f t="shared" si="9"/>
        <v>5.1150895140664961E-2</v>
      </c>
      <c r="AH54" s="1">
        <v>8.7311491370201098E-11</v>
      </c>
      <c r="AI54" s="4">
        <v>99346.904885352706</v>
      </c>
      <c r="AJ54" s="4">
        <v>220</v>
      </c>
      <c r="AK54" s="4">
        <f t="shared" si="10"/>
        <v>5.1150895140664961E-2</v>
      </c>
      <c r="AL54">
        <v>99092.852653953305</v>
      </c>
      <c r="AM54">
        <f t="shared" si="11"/>
        <v>1.2763872343534954</v>
      </c>
      <c r="AN54">
        <v>0.96177719999104705</v>
      </c>
      <c r="AO54">
        <v>1</v>
      </c>
      <c r="AP54">
        <f t="shared" si="12"/>
        <v>0.1</v>
      </c>
      <c r="AQ54">
        <v>99870.672332560498</v>
      </c>
      <c r="AR54">
        <f t="shared" si="13"/>
        <v>1.2864061114148932</v>
      </c>
      <c r="AS54">
        <v>100.80028700002001</v>
      </c>
      <c r="AT54">
        <v>69</v>
      </c>
      <c r="AU54">
        <f t="shared" si="14"/>
        <v>0.69</v>
      </c>
      <c r="AV54">
        <v>99697.141108490701</v>
      </c>
      <c r="AW54">
        <f t="shared" si="15"/>
        <v>1.2841709044021543</v>
      </c>
      <c r="AX54">
        <v>93.614593899983404</v>
      </c>
      <c r="AY54" t="str">
        <f>IF(AL54=MIN(AL54,AQ54,AV54),"Simulated Annealing",IF(AQ54=MIN(AL54,AQ54,AV54),"Ant Colony Optimization","Genetic Algorithm"))</f>
        <v>Simulated Annealing</v>
      </c>
      <c r="AZ54">
        <f>MIN(AL54,AQ54,AV54)</f>
        <v>99092.852653953305</v>
      </c>
      <c r="BA54">
        <f>AZ54/F54</f>
        <v>1.2763872343534954</v>
      </c>
      <c r="BB54">
        <v>101737.802986774</v>
      </c>
      <c r="BC54">
        <f>BB54/F54</f>
        <v>1.310456097544878</v>
      </c>
      <c r="BD54">
        <v>0.112</v>
      </c>
      <c r="BE54">
        <v>5</v>
      </c>
      <c r="BF54">
        <v>5</v>
      </c>
    </row>
    <row r="55" spans="1:58" x14ac:dyDescent="0.3">
      <c r="A55">
        <v>54</v>
      </c>
      <c r="B55">
        <v>540</v>
      </c>
      <c r="C55">
        <v>4.7780374927427198E-2</v>
      </c>
      <c r="D55">
        <v>0.135756325648965</v>
      </c>
      <c r="E55">
        <f t="shared" si="0"/>
        <v>0.36845125274446416</v>
      </c>
      <c r="F55">
        <v>79444.367739292604</v>
      </c>
      <c r="G55">
        <v>16.392414200003198</v>
      </c>
      <c r="H55">
        <v>105348.603878744</v>
      </c>
      <c r="I55">
        <f t="shared" si="1"/>
        <v>1.3260676228736521</v>
      </c>
      <c r="J55">
        <v>2.0478193000308198</v>
      </c>
      <c r="K55">
        <v>2286005.9596553999</v>
      </c>
      <c r="L55" t="s">
        <v>44</v>
      </c>
      <c r="M55">
        <v>0</v>
      </c>
      <c r="N55">
        <v>517</v>
      </c>
      <c r="O55">
        <f t="shared" si="2"/>
        <v>0.95925925925925926</v>
      </c>
      <c r="P55">
        <v>107074.610539758</v>
      </c>
      <c r="Q55">
        <f t="shared" si="3"/>
        <v>1.3477936018213117</v>
      </c>
      <c r="R55">
        <v>16.392414200003198</v>
      </c>
      <c r="S55">
        <v>136</v>
      </c>
      <c r="T55">
        <f t="shared" si="4"/>
        <v>0.25370370370370371</v>
      </c>
      <c r="U55">
        <v>102247.580197003</v>
      </c>
      <c r="V55">
        <f t="shared" si="5"/>
        <v>1.2870337206602513</v>
      </c>
      <c r="W55">
        <v>4.92038049997063</v>
      </c>
      <c r="X55" t="str">
        <f>IF(H55=MIN(H55,P55,U55),"Christofides",IF(P55=MIN(H55,P55,U55),"Arithmetic Series","Nearest Neighbor"))</f>
        <v>Nearest Neighbor</v>
      </c>
      <c r="Y55">
        <f t="shared" si="6"/>
        <v>102247.580197003</v>
      </c>
      <c r="Z55">
        <f t="shared" si="7"/>
        <v>1.2870337206602513</v>
      </c>
      <c r="AA55">
        <v>4192</v>
      </c>
      <c r="AB55">
        <v>4303</v>
      </c>
      <c r="AC55">
        <f t="shared" si="8"/>
        <v>0.97420404369044855</v>
      </c>
      <c r="AD55">
        <v>0</v>
      </c>
      <c r="AE55">
        <v>102247.580197003</v>
      </c>
      <c r="AF55">
        <v>2115</v>
      </c>
      <c r="AG55">
        <f t="shared" si="9"/>
        <v>0.49151754589821056</v>
      </c>
      <c r="AH55" s="1">
        <v>2.0372681319713499E-10</v>
      </c>
      <c r="AI55" s="4">
        <v>101863.156468959</v>
      </c>
      <c r="AJ55" s="4">
        <v>3769</v>
      </c>
      <c r="AK55" s="4">
        <f t="shared" si="10"/>
        <v>0.87590053451080641</v>
      </c>
      <c r="AL55">
        <v>101786.97164668</v>
      </c>
      <c r="AM55">
        <f t="shared" si="11"/>
        <v>1.2812358451980845</v>
      </c>
      <c r="AN55">
        <v>0.99407100002281301</v>
      </c>
      <c r="AO55">
        <v>1</v>
      </c>
      <c r="AP55">
        <f t="shared" si="12"/>
        <v>0.1</v>
      </c>
      <c r="AQ55">
        <v>102247.580197003</v>
      </c>
      <c r="AR55">
        <f t="shared" si="13"/>
        <v>1.2870337206602513</v>
      </c>
      <c r="AS55">
        <v>105.023897000006</v>
      </c>
      <c r="AT55">
        <v>62</v>
      </c>
      <c r="AU55">
        <f t="shared" si="14"/>
        <v>0.62</v>
      </c>
      <c r="AV55">
        <v>100855.670589495</v>
      </c>
      <c r="AW55">
        <f t="shared" si="15"/>
        <v>1.2695131632297265</v>
      </c>
      <c r="AX55">
        <v>98.602505200018598</v>
      </c>
      <c r="AY55" t="str">
        <f>IF(AL55=MIN(AL55,AQ55,AV55),"Simulated Annealing",IF(AQ55=MIN(AL55,AQ55,AV55),"Ant Colony Optimization","Genetic Algorithm"))</f>
        <v>Genetic Algorithm</v>
      </c>
      <c r="AZ55">
        <f>MIN(AL55,AQ55,AV55)</f>
        <v>100855.670589495</v>
      </c>
      <c r="BA55">
        <f>AZ55/F55</f>
        <v>1.2695131632297265</v>
      </c>
      <c r="BB55">
        <v>108936.86521566</v>
      </c>
      <c r="BC55">
        <f>BB55/F55</f>
        <v>1.3712345924024596</v>
      </c>
      <c r="BD55">
        <v>0.112</v>
      </c>
      <c r="BE55">
        <v>5</v>
      </c>
      <c r="BF55">
        <v>5.1120000000000001</v>
      </c>
    </row>
    <row r="56" spans="1:58" x14ac:dyDescent="0.3">
      <c r="A56">
        <v>55</v>
      </c>
      <c r="B56">
        <v>550</v>
      </c>
      <c r="C56">
        <v>4.5536284868189301E-2</v>
      </c>
      <c r="D56">
        <v>0.146284560077589</v>
      </c>
      <c r="E56">
        <f t="shared" si="0"/>
        <v>0.38247164610934103</v>
      </c>
      <c r="F56">
        <v>76563.421767077205</v>
      </c>
      <c r="G56">
        <v>17.5857595000416</v>
      </c>
      <c r="H56">
        <v>101585.616212186</v>
      </c>
      <c r="I56">
        <f t="shared" si="1"/>
        <v>1.3268165641973502</v>
      </c>
      <c r="J56">
        <v>2.1621787000330999</v>
      </c>
      <c r="K56">
        <v>2379539.1337059699</v>
      </c>
      <c r="L56" t="s">
        <v>44</v>
      </c>
      <c r="M56">
        <v>0</v>
      </c>
      <c r="N56">
        <v>355</v>
      </c>
      <c r="O56">
        <f t="shared" si="2"/>
        <v>0.64727272727272722</v>
      </c>
      <c r="P56">
        <v>107722.986397263</v>
      </c>
      <c r="Q56">
        <f t="shared" si="3"/>
        <v>1.4069771688754984</v>
      </c>
      <c r="R56">
        <v>17.5857595000416</v>
      </c>
      <c r="S56">
        <v>82</v>
      </c>
      <c r="T56">
        <f t="shared" si="4"/>
        <v>0.15090909090909091</v>
      </c>
      <c r="U56">
        <v>103638.736712408</v>
      </c>
      <c r="V56">
        <f t="shared" si="5"/>
        <v>1.3536325091072845</v>
      </c>
      <c r="W56">
        <v>5.1577720000059299</v>
      </c>
      <c r="X56" t="str">
        <f>IF(H56=MIN(H56,P56,U56),"Christofides",IF(P56=MIN(H56,P56,U56),"Arithmetic Series","Nearest Neighbor"))</f>
        <v>Christofides</v>
      </c>
      <c r="Y56">
        <f t="shared" si="6"/>
        <v>101585.616212186</v>
      </c>
      <c r="Z56">
        <f t="shared" si="7"/>
        <v>1.3268165641973502</v>
      </c>
      <c r="AA56">
        <v>3410</v>
      </c>
      <c r="AB56">
        <v>4305</v>
      </c>
      <c r="AC56">
        <f t="shared" si="8"/>
        <v>0.79210220673635312</v>
      </c>
      <c r="AD56">
        <v>0</v>
      </c>
      <c r="AE56">
        <v>101585.616212186</v>
      </c>
      <c r="AF56">
        <v>493</v>
      </c>
      <c r="AG56">
        <f t="shared" si="9"/>
        <v>0.11451800232288037</v>
      </c>
      <c r="AH56" s="1">
        <v>8.7311491370201098E-11</v>
      </c>
      <c r="AI56" s="4">
        <v>101507.552168436</v>
      </c>
      <c r="AJ56" s="4">
        <v>3614</v>
      </c>
      <c r="AK56" s="4">
        <f t="shared" si="10"/>
        <v>0.83948896631823466</v>
      </c>
      <c r="AL56">
        <v>101507.552168436</v>
      </c>
      <c r="AM56">
        <f t="shared" si="11"/>
        <v>1.3257969644727261</v>
      </c>
      <c r="AN56">
        <v>1.05825569998705</v>
      </c>
      <c r="AO56">
        <v>1</v>
      </c>
      <c r="AP56">
        <f t="shared" si="12"/>
        <v>0.1</v>
      </c>
      <c r="AQ56">
        <v>101585.616212186</v>
      </c>
      <c r="AR56">
        <f t="shared" si="13"/>
        <v>1.3268165641973502</v>
      </c>
      <c r="AS56">
        <v>110.903227700036</v>
      </c>
      <c r="AT56">
        <v>97</v>
      </c>
      <c r="AU56">
        <f t="shared" si="14"/>
        <v>0.97</v>
      </c>
      <c r="AV56">
        <v>101423.176423215</v>
      </c>
      <c r="AW56">
        <f t="shared" si="15"/>
        <v>1.3246949271907758</v>
      </c>
      <c r="AX56">
        <v>105.582984300039</v>
      </c>
      <c r="AY56" t="str">
        <f>IF(AL56=MIN(AL56,AQ56,AV56),"Simulated Annealing",IF(AQ56=MIN(AL56,AQ56,AV56),"Ant Colony Optimization","Genetic Algorithm"))</f>
        <v>Genetic Algorithm</v>
      </c>
      <c r="AZ56">
        <f>MIN(AL56,AQ56,AV56)</f>
        <v>101423.176423215</v>
      </c>
      <c r="BA56">
        <f>AZ56/F56</f>
        <v>1.3246949271907758</v>
      </c>
      <c r="BB56">
        <v>107801.683873382</v>
      </c>
      <c r="BC56">
        <f>BB56/F56</f>
        <v>1.4080050419028878</v>
      </c>
      <c r="BD56">
        <v>0.112</v>
      </c>
      <c r="BE56">
        <v>5</v>
      </c>
      <c r="BF56">
        <v>5.0819999999999999</v>
      </c>
    </row>
    <row r="57" spans="1:58" x14ac:dyDescent="0.3">
      <c r="A57">
        <v>56</v>
      </c>
      <c r="B57">
        <v>560</v>
      </c>
      <c r="C57">
        <v>4.25551091541111E-2</v>
      </c>
      <c r="D57">
        <v>8.1789701662757203E-2</v>
      </c>
      <c r="E57">
        <f t="shared" si="0"/>
        <v>0.28598898870893125</v>
      </c>
      <c r="F57">
        <v>80195.3992820524</v>
      </c>
      <c r="G57">
        <v>18.845021400018499</v>
      </c>
      <c r="H57">
        <v>107495.889912497</v>
      </c>
      <c r="I57">
        <f t="shared" si="1"/>
        <v>1.34042464873112</v>
      </c>
      <c r="J57">
        <v>2.2604060000157902</v>
      </c>
      <c r="K57">
        <v>2475080.1103062402</v>
      </c>
      <c r="L57" t="s">
        <v>44</v>
      </c>
      <c r="M57">
        <v>1</v>
      </c>
      <c r="N57">
        <v>216</v>
      </c>
      <c r="O57">
        <f t="shared" si="2"/>
        <v>0.38750000000000001</v>
      </c>
      <c r="P57">
        <v>110619.48213330899</v>
      </c>
      <c r="Q57">
        <f t="shared" si="3"/>
        <v>1.3793744170317443</v>
      </c>
      <c r="R57">
        <v>18.845021400018499</v>
      </c>
      <c r="S57">
        <v>270</v>
      </c>
      <c r="T57">
        <f t="shared" si="4"/>
        <v>0.48392857142857143</v>
      </c>
      <c r="U57">
        <v>103615.864143795</v>
      </c>
      <c r="V57">
        <f t="shared" si="5"/>
        <v>1.2920424995874302</v>
      </c>
      <c r="W57">
        <v>5.5153405000455598</v>
      </c>
      <c r="X57" t="str">
        <f>IF(H57=MIN(H57,P57,U57),"Christofides",IF(P57=MIN(H57,P57,U57),"Arithmetic Series","Nearest Neighbor"))</f>
        <v>Nearest Neighbor</v>
      </c>
      <c r="Y57">
        <f t="shared" si="6"/>
        <v>103615.864143795</v>
      </c>
      <c r="Z57">
        <f t="shared" si="7"/>
        <v>1.2920424995874302</v>
      </c>
      <c r="AA57">
        <v>3243</v>
      </c>
      <c r="AB57">
        <v>4307</v>
      </c>
      <c r="AC57">
        <f t="shared" si="8"/>
        <v>0.75296029719061996</v>
      </c>
      <c r="AD57">
        <v>0</v>
      </c>
      <c r="AE57">
        <v>103615.864143795</v>
      </c>
      <c r="AF57">
        <v>168</v>
      </c>
      <c r="AG57">
        <f t="shared" si="9"/>
        <v>3.9006268864638961E-2</v>
      </c>
      <c r="AH57" s="1">
        <v>2.91038304567337E-11</v>
      </c>
      <c r="AI57" s="4">
        <v>103615.864143795</v>
      </c>
      <c r="AJ57" s="4">
        <v>168</v>
      </c>
      <c r="AK57" s="4">
        <f t="shared" si="10"/>
        <v>3.9006268864638961E-2</v>
      </c>
      <c r="AL57">
        <v>103401.152071705</v>
      </c>
      <c r="AM57">
        <f t="shared" si="11"/>
        <v>1.2893651381176676</v>
      </c>
      <c r="AN57">
        <v>1.0771783000091</v>
      </c>
      <c r="AO57">
        <v>1</v>
      </c>
      <c r="AP57">
        <f t="shared" si="12"/>
        <v>0.1</v>
      </c>
      <c r="AQ57">
        <v>103615.864143795</v>
      </c>
      <c r="AR57">
        <f t="shared" si="13"/>
        <v>1.2920424995874302</v>
      </c>
      <c r="AS57">
        <v>117.232777700002</v>
      </c>
      <c r="AT57">
        <v>46</v>
      </c>
      <c r="AU57">
        <f t="shared" si="14"/>
        <v>0.46</v>
      </c>
      <c r="AV57">
        <v>103608.65490387</v>
      </c>
      <c r="AW57">
        <f t="shared" si="15"/>
        <v>1.2919526036583679</v>
      </c>
      <c r="AX57">
        <v>114.98574780003401</v>
      </c>
      <c r="AY57" t="str">
        <f>IF(AL57=MIN(AL57,AQ57,AV57),"Simulated Annealing",IF(AQ57=MIN(AL57,AQ57,AV57),"Ant Colony Optimization","Genetic Algorithm"))</f>
        <v>Simulated Annealing</v>
      </c>
      <c r="AZ57">
        <f>MIN(AL57,AQ57,AV57)</f>
        <v>103401.152071705</v>
      </c>
      <c r="BA57">
        <f>AZ57/F57</f>
        <v>1.2893651381176676</v>
      </c>
      <c r="BB57">
        <v>108574.52632721</v>
      </c>
      <c r="BC57">
        <f>BB57/F57</f>
        <v>1.3538747521581178</v>
      </c>
      <c r="BD57">
        <v>0.112</v>
      </c>
      <c r="BE57">
        <v>5</v>
      </c>
      <c r="BF57">
        <v>5.0659999999999998</v>
      </c>
    </row>
    <row r="58" spans="1:58" x14ac:dyDescent="0.3">
      <c r="A58">
        <v>57</v>
      </c>
      <c r="B58">
        <v>570</v>
      </c>
      <c r="C58">
        <v>4.1628149697142701E-2</v>
      </c>
      <c r="D58">
        <v>9.0757853376005199E-2</v>
      </c>
      <c r="E58">
        <f t="shared" si="0"/>
        <v>0.30126044110703482</v>
      </c>
      <c r="F58">
        <v>79503.077323814097</v>
      </c>
      <c r="G58">
        <v>19.50531149999</v>
      </c>
      <c r="H58">
        <v>107095.049883377</v>
      </c>
      <c r="I58">
        <f t="shared" si="1"/>
        <v>1.3470554032415811</v>
      </c>
      <c r="J58">
        <v>2.3741280999965899</v>
      </c>
      <c r="K58">
        <v>2572635.78815162</v>
      </c>
      <c r="L58" t="s">
        <v>44</v>
      </c>
      <c r="M58" t="s">
        <v>37</v>
      </c>
      <c r="N58">
        <v>425</v>
      </c>
      <c r="O58">
        <f t="shared" si="2"/>
        <v>0.74736842105263157</v>
      </c>
      <c r="P58">
        <v>115145.622428766</v>
      </c>
      <c r="Q58">
        <f t="shared" si="3"/>
        <v>1.4483165470410748</v>
      </c>
      <c r="R58">
        <v>19.50531149999</v>
      </c>
      <c r="S58">
        <v>413</v>
      </c>
      <c r="T58">
        <f t="shared" si="4"/>
        <v>0.72631578947368425</v>
      </c>
      <c r="U58">
        <v>106141.552598806</v>
      </c>
      <c r="V58">
        <f t="shared" si="5"/>
        <v>1.3350621909450628</v>
      </c>
      <c r="W58">
        <v>5.6581551000126602</v>
      </c>
      <c r="X58" t="str">
        <f>IF(H58=MIN(H58,P58,U58),"Christofides",IF(P58=MIN(H58,P58,U58),"Arithmetic Series","Nearest Neighbor"))</f>
        <v>Nearest Neighbor</v>
      </c>
      <c r="Y58">
        <f t="shared" si="6"/>
        <v>106141.552598806</v>
      </c>
      <c r="Z58">
        <f t="shared" si="7"/>
        <v>1.3350621909450628</v>
      </c>
      <c r="AA58">
        <v>3638</v>
      </c>
      <c r="AB58">
        <v>4308</v>
      </c>
      <c r="AC58">
        <f t="shared" si="8"/>
        <v>0.84447539461467036</v>
      </c>
      <c r="AD58">
        <v>0</v>
      </c>
      <c r="AE58">
        <v>106141.552598806</v>
      </c>
      <c r="AF58">
        <v>395</v>
      </c>
      <c r="AG58">
        <f t="shared" si="9"/>
        <v>9.1689879294336113E-2</v>
      </c>
      <c r="AH58" s="1">
        <v>4.3655745685100497E-11</v>
      </c>
      <c r="AI58" s="4">
        <v>106141.552598806</v>
      </c>
      <c r="AJ58" s="4">
        <v>395</v>
      </c>
      <c r="AK58" s="4">
        <f t="shared" si="10"/>
        <v>9.1689879294336113E-2</v>
      </c>
      <c r="AL58">
        <v>104223.93215828</v>
      </c>
      <c r="AM58">
        <f t="shared" si="11"/>
        <v>1.3109421127660061</v>
      </c>
      <c r="AN58">
        <v>1.0431739999912599</v>
      </c>
      <c r="AO58">
        <v>0</v>
      </c>
      <c r="AP58">
        <f t="shared" si="12"/>
        <v>0</v>
      </c>
      <c r="AQ58">
        <v>106141.552598806</v>
      </c>
      <c r="AR58">
        <f t="shared" si="13"/>
        <v>1.3350621909450628</v>
      </c>
      <c r="AS58">
        <v>120.908905000018</v>
      </c>
      <c r="AT58">
        <v>93</v>
      </c>
      <c r="AU58">
        <f t="shared" si="14"/>
        <v>0.93</v>
      </c>
      <c r="AV58">
        <v>105936.352325662</v>
      </c>
      <c r="AW58">
        <f t="shared" si="15"/>
        <v>1.3324811553417715</v>
      </c>
      <c r="AX58">
        <v>119.24490759999</v>
      </c>
      <c r="AY58" t="str">
        <f>IF(AL58=MIN(AL58,AQ58,AV58),"Simulated Annealing",IF(AQ58=MIN(AL58,AQ58,AV58),"Ant Colony Optimization","Genetic Algorithm"))</f>
        <v>Simulated Annealing</v>
      </c>
      <c r="AZ58">
        <f>MIN(AL58,AQ58,AV58)</f>
        <v>104223.93215828</v>
      </c>
      <c r="BA58">
        <f>AZ58/F58</f>
        <v>1.3109421127660061</v>
      </c>
      <c r="BB58">
        <v>113167.041170096</v>
      </c>
      <c r="BC58">
        <f>BB58/F58</f>
        <v>1.4234296957986845</v>
      </c>
      <c r="BD58">
        <v>9.6000000000000002E-2</v>
      </c>
      <c r="BE58">
        <v>5</v>
      </c>
      <c r="BF58">
        <v>5.0880000000000001</v>
      </c>
    </row>
    <row r="59" spans="1:58" x14ac:dyDescent="0.3">
      <c r="A59">
        <v>58</v>
      </c>
      <c r="B59">
        <v>580</v>
      </c>
      <c r="C59">
        <v>4.0238705760573597E-2</v>
      </c>
      <c r="D59">
        <v>8.5911772400331196E-2</v>
      </c>
      <c r="E59">
        <f t="shared" si="0"/>
        <v>0.29310710056279976</v>
      </c>
      <c r="F59">
        <v>80771.020030346204</v>
      </c>
      <c r="G59">
        <v>20.543872200010799</v>
      </c>
      <c r="H59">
        <v>108730.70553160099</v>
      </c>
      <c r="I59">
        <f t="shared" si="1"/>
        <v>1.3461598663821523</v>
      </c>
      <c r="J59">
        <v>2.4658431999851</v>
      </c>
      <c r="K59">
        <v>2672208.1835715901</v>
      </c>
      <c r="L59" t="s">
        <v>44</v>
      </c>
      <c r="M59">
        <v>1</v>
      </c>
      <c r="N59">
        <v>386</v>
      </c>
      <c r="O59">
        <f t="shared" si="2"/>
        <v>0.66724137931034477</v>
      </c>
      <c r="P59">
        <v>117407.00633921201</v>
      </c>
      <c r="Q59">
        <f t="shared" si="3"/>
        <v>1.4535783539083873</v>
      </c>
      <c r="R59">
        <v>20.543872200010799</v>
      </c>
      <c r="S59">
        <v>328</v>
      </c>
      <c r="T59">
        <f t="shared" si="4"/>
        <v>0.5672413793103448</v>
      </c>
      <c r="U59">
        <v>109817.10230765</v>
      </c>
      <c r="V59">
        <f t="shared" si="5"/>
        <v>1.3596101951713744</v>
      </c>
      <c r="W59">
        <v>6.2013346999883598</v>
      </c>
      <c r="X59" t="str">
        <f>IF(H59=MIN(H59,P59,U59),"Christofides",IF(P59=MIN(H59,P59,U59),"Arithmetic Series","Nearest Neighbor"))</f>
        <v>Christofides</v>
      </c>
      <c r="Y59">
        <f t="shared" si="6"/>
        <v>108730.70553160099</v>
      </c>
      <c r="Z59">
        <f t="shared" si="7"/>
        <v>1.3461598663821523</v>
      </c>
      <c r="AA59">
        <v>2270</v>
      </c>
      <c r="AB59">
        <v>4310</v>
      </c>
      <c r="AC59">
        <f t="shared" si="8"/>
        <v>0.52668213457076563</v>
      </c>
      <c r="AD59">
        <v>0</v>
      </c>
      <c r="AE59">
        <v>108443.48659750199</v>
      </c>
      <c r="AF59">
        <v>297</v>
      </c>
      <c r="AG59">
        <f t="shared" si="9"/>
        <v>6.8909512761020877E-2</v>
      </c>
      <c r="AH59" s="1">
        <v>1.45519152283668E-11</v>
      </c>
      <c r="AI59" s="4">
        <v>108443.48659750199</v>
      </c>
      <c r="AJ59" s="4">
        <v>297</v>
      </c>
      <c r="AK59" s="4">
        <f t="shared" si="10"/>
        <v>6.8909512761020877E-2</v>
      </c>
      <c r="AL59">
        <v>108376.610468147</v>
      </c>
      <c r="AM59">
        <f t="shared" si="11"/>
        <v>1.3417759293794878</v>
      </c>
      <c r="AN59">
        <v>1.12214950000634</v>
      </c>
      <c r="AO59">
        <v>3</v>
      </c>
      <c r="AP59">
        <f t="shared" si="12"/>
        <v>0.3</v>
      </c>
      <c r="AQ59">
        <v>108561.0776027</v>
      </c>
      <c r="AR59">
        <f t="shared" si="13"/>
        <v>1.3440597575951485</v>
      </c>
      <c r="AS59">
        <v>127.34590260003399</v>
      </c>
      <c r="AT59">
        <v>86</v>
      </c>
      <c r="AU59">
        <f t="shared" si="14"/>
        <v>0.86</v>
      </c>
      <c r="AV59">
        <v>108598.23277658199</v>
      </c>
      <c r="AW59">
        <f t="shared" si="15"/>
        <v>1.3445197638432809</v>
      </c>
      <c r="AX59">
        <v>133.10436540003801</v>
      </c>
      <c r="AY59" t="str">
        <f>IF(AL59=MIN(AL59,AQ59,AV59),"Simulated Annealing",IF(AQ59=MIN(AL59,AQ59,AV59),"Ant Colony Optimization","Genetic Algorithm"))</f>
        <v>Simulated Annealing</v>
      </c>
      <c r="AZ59">
        <f>MIN(AL59,AQ59,AV59)</f>
        <v>108376.610468147</v>
      </c>
      <c r="BA59">
        <f>AZ59/F59</f>
        <v>1.3417759293794878</v>
      </c>
      <c r="BB59">
        <v>117254.13438487401</v>
      </c>
      <c r="BC59">
        <f>BB59/F59</f>
        <v>1.4516856954489477</v>
      </c>
      <c r="BD59">
        <v>0.112</v>
      </c>
      <c r="BE59">
        <v>5</v>
      </c>
      <c r="BF59">
        <v>5</v>
      </c>
    </row>
    <row r="60" spans="1:58" x14ac:dyDescent="0.3">
      <c r="A60">
        <v>59</v>
      </c>
      <c r="B60">
        <v>590</v>
      </c>
      <c r="C60">
        <v>3.8790904518529998E-2</v>
      </c>
      <c r="D60">
        <v>9.2751714315027406E-2</v>
      </c>
      <c r="E60">
        <f t="shared" si="0"/>
        <v>0.30455166115952709</v>
      </c>
      <c r="F60">
        <v>80637.463825962797</v>
      </c>
      <c r="G60">
        <v>21.1381485999445</v>
      </c>
      <c r="H60">
        <v>108750.541579228</v>
      </c>
      <c r="I60">
        <f t="shared" si="1"/>
        <v>1.3486354408906105</v>
      </c>
      <c r="J60">
        <v>2.5067926999763501</v>
      </c>
      <c r="K60">
        <v>2773805.1107647899</v>
      </c>
      <c r="L60" t="s">
        <v>44</v>
      </c>
      <c r="M60">
        <v>1</v>
      </c>
      <c r="N60">
        <v>384</v>
      </c>
      <c r="O60">
        <f t="shared" si="2"/>
        <v>0.65254237288135597</v>
      </c>
      <c r="P60">
        <v>115808.56768500101</v>
      </c>
      <c r="Q60">
        <f t="shared" si="3"/>
        <v>1.4361633190119527</v>
      </c>
      <c r="R60">
        <v>21.1381485999445</v>
      </c>
      <c r="S60">
        <v>228</v>
      </c>
      <c r="T60">
        <f t="shared" si="4"/>
        <v>0.38813559322033897</v>
      </c>
      <c r="U60">
        <v>109282.068282277</v>
      </c>
      <c r="V60">
        <f t="shared" si="5"/>
        <v>1.3552270011633416</v>
      </c>
      <c r="W60">
        <v>6.4218677000026201</v>
      </c>
      <c r="X60" t="str">
        <f>IF(H60=MIN(H60,P60,U60),"Christofides",IF(P60=MIN(H60,P60,U60),"Arithmetic Series","Nearest Neighbor"))</f>
        <v>Christofides</v>
      </c>
      <c r="Y60">
        <f t="shared" si="6"/>
        <v>108750.541579228</v>
      </c>
      <c r="Z60">
        <f t="shared" si="7"/>
        <v>1.3486354408906105</v>
      </c>
      <c r="AA60">
        <v>3909</v>
      </c>
      <c r="AB60">
        <v>4312</v>
      </c>
      <c r="AC60">
        <f t="shared" si="8"/>
        <v>0.90653988868274582</v>
      </c>
      <c r="AD60">
        <v>0</v>
      </c>
      <c r="AE60">
        <v>108368.244554281</v>
      </c>
      <c r="AF60">
        <v>731</v>
      </c>
      <c r="AG60">
        <f t="shared" si="9"/>
        <v>0.16952690166975881</v>
      </c>
      <c r="AH60" s="1">
        <v>8.7311491370201098E-11</v>
      </c>
      <c r="AI60" s="4">
        <v>107706.62400465801</v>
      </c>
      <c r="AJ60" s="4">
        <v>3633</v>
      </c>
      <c r="AK60" s="4">
        <f t="shared" si="10"/>
        <v>0.84253246753246758</v>
      </c>
      <c r="AL60">
        <v>107694.548155215</v>
      </c>
      <c r="AM60">
        <f t="shared" si="11"/>
        <v>1.3355398724797276</v>
      </c>
      <c r="AN60">
        <v>1.1327765000169101</v>
      </c>
      <c r="AO60">
        <v>0</v>
      </c>
      <c r="AP60">
        <f t="shared" si="12"/>
        <v>0</v>
      </c>
      <c r="AQ60">
        <v>108750.541579228</v>
      </c>
      <c r="AR60">
        <f t="shared" si="13"/>
        <v>1.3486354408906105</v>
      </c>
      <c r="AS60">
        <v>132.07606019999301</v>
      </c>
      <c r="AT60">
        <v>79</v>
      </c>
      <c r="AU60">
        <f t="shared" si="14"/>
        <v>0.79</v>
      </c>
      <c r="AV60">
        <v>108564.32832053</v>
      </c>
      <c r="AW60">
        <f t="shared" si="15"/>
        <v>1.3463261760667578</v>
      </c>
      <c r="AX60">
        <v>128.23123670002599</v>
      </c>
      <c r="AY60" t="str">
        <f>IF(AL60=MIN(AL60,AQ60,AV60),"Simulated Annealing",IF(AQ60=MIN(AL60,AQ60,AV60),"Ant Colony Optimization","Genetic Algorithm"))</f>
        <v>Simulated Annealing</v>
      </c>
      <c r="AZ60">
        <f>MIN(AL60,AQ60,AV60)</f>
        <v>107694.548155215</v>
      </c>
      <c r="BA60">
        <f>AZ60/F60</f>
        <v>1.3355398724797276</v>
      </c>
      <c r="BB60">
        <v>112291.34875247101</v>
      </c>
      <c r="BC60">
        <f>BB60/F60</f>
        <v>1.3925456410041088</v>
      </c>
      <c r="BD60">
        <v>0.112</v>
      </c>
      <c r="BE60">
        <v>5</v>
      </c>
      <c r="BF60">
        <v>5</v>
      </c>
    </row>
    <row r="61" spans="1:58" x14ac:dyDescent="0.3">
      <c r="A61">
        <v>60</v>
      </c>
      <c r="B61">
        <v>600</v>
      </c>
      <c r="C61">
        <v>3.7023628935417698E-2</v>
      </c>
      <c r="D61">
        <v>7.2148699523146106E-2</v>
      </c>
      <c r="E61">
        <f t="shared" si="0"/>
        <v>0.26860509958514583</v>
      </c>
      <c r="F61">
        <v>81078.527808206505</v>
      </c>
      <c r="G61">
        <v>22.679103900038101</v>
      </c>
      <c r="H61">
        <v>107739.78678599</v>
      </c>
      <c r="I61">
        <f t="shared" si="1"/>
        <v>1.3288325491164743</v>
      </c>
      <c r="J61">
        <v>2.6513851000345299</v>
      </c>
      <c r="K61">
        <v>2877435.6217206302</v>
      </c>
      <c r="L61" t="s">
        <v>44</v>
      </c>
      <c r="M61">
        <v>0</v>
      </c>
      <c r="N61">
        <v>486</v>
      </c>
      <c r="O61">
        <f t="shared" si="2"/>
        <v>0.81166666666666665</v>
      </c>
      <c r="P61">
        <v>114387.418682246</v>
      </c>
      <c r="Q61">
        <f t="shared" si="3"/>
        <v>1.410822591066683</v>
      </c>
      <c r="R61">
        <v>22.679103900038101</v>
      </c>
      <c r="S61">
        <v>278</v>
      </c>
      <c r="T61">
        <f t="shared" si="4"/>
        <v>0.46500000000000002</v>
      </c>
      <c r="U61">
        <v>109536.350821222</v>
      </c>
      <c r="V61">
        <f t="shared" si="5"/>
        <v>1.3509908699912911</v>
      </c>
      <c r="W61">
        <v>6.9829665000433998</v>
      </c>
      <c r="X61" t="str">
        <f>IF(H61=MIN(H61,P61,U61),"Christofides",IF(P61=MIN(H61,P61,U61),"Arithmetic Series","Nearest Neighbor"))</f>
        <v>Christofides</v>
      </c>
      <c r="Y61">
        <f t="shared" si="6"/>
        <v>107739.78678599</v>
      </c>
      <c r="Z61">
        <f t="shared" si="7"/>
        <v>1.3288325491164743</v>
      </c>
      <c r="AA61">
        <v>3362</v>
      </c>
      <c r="AB61">
        <v>4314</v>
      </c>
      <c r="AC61">
        <f t="shared" si="8"/>
        <v>0.77932313398238295</v>
      </c>
      <c r="AD61">
        <v>0</v>
      </c>
      <c r="AE61">
        <v>107623.78538359801</v>
      </c>
      <c r="AF61">
        <v>765</v>
      </c>
      <c r="AG61">
        <f t="shared" si="9"/>
        <v>0.17732962447844228</v>
      </c>
      <c r="AH61" s="1">
        <v>5.8207660913467401E-11</v>
      </c>
      <c r="AI61" s="4">
        <v>107545.92401645699</v>
      </c>
      <c r="AJ61" s="4">
        <v>1146</v>
      </c>
      <c r="AK61" s="4">
        <f t="shared" si="10"/>
        <v>0.26564673157162727</v>
      </c>
      <c r="AL61">
        <v>107382.708098884</v>
      </c>
      <c r="AM61">
        <f t="shared" si="11"/>
        <v>1.32442843995516</v>
      </c>
      <c r="AN61">
        <v>1.1619958000374</v>
      </c>
      <c r="AO61">
        <v>1</v>
      </c>
      <c r="AP61">
        <f t="shared" si="12"/>
        <v>0.1</v>
      </c>
      <c r="AQ61">
        <v>107739.78678599</v>
      </c>
      <c r="AR61">
        <f t="shared" si="13"/>
        <v>1.3288325491164743</v>
      </c>
      <c r="AS61">
        <v>139.30666699999699</v>
      </c>
      <c r="AT61">
        <v>98</v>
      </c>
      <c r="AU61">
        <f t="shared" si="14"/>
        <v>0.98</v>
      </c>
      <c r="AV61">
        <v>107624.502965148</v>
      </c>
      <c r="AW61">
        <f t="shared" si="15"/>
        <v>1.3274106705506139</v>
      </c>
      <c r="AX61">
        <v>137.492129200021</v>
      </c>
      <c r="AY61" t="str">
        <f>IF(AL61=MIN(AL61,AQ61,AV61),"Simulated Annealing",IF(AQ61=MIN(AL61,AQ61,AV61),"Ant Colony Optimization","Genetic Algorithm"))</f>
        <v>Simulated Annealing</v>
      </c>
      <c r="AZ61">
        <f>MIN(AL61,AQ61,AV61)</f>
        <v>107382.708098884</v>
      </c>
      <c r="BA61">
        <f>AZ61/F61</f>
        <v>1.32442843995516</v>
      </c>
      <c r="BB61">
        <v>119834.570090578</v>
      </c>
      <c r="BC61">
        <f>BB61/F61</f>
        <v>1.4780062407404582</v>
      </c>
      <c r="BD61">
        <v>0.112</v>
      </c>
      <c r="BE61">
        <v>5</v>
      </c>
      <c r="BF61">
        <v>5.0579999999999998</v>
      </c>
    </row>
    <row r="62" spans="1:58" x14ac:dyDescent="0.3">
      <c r="A62">
        <v>61</v>
      </c>
      <c r="B62">
        <v>5</v>
      </c>
      <c r="C62">
        <v>316.013809370101</v>
      </c>
      <c r="D62">
        <v>153354.500097674</v>
      </c>
      <c r="E62">
        <f t="shared" si="0"/>
        <v>391.60503073591127</v>
      </c>
      <c r="F62">
        <v>9746.5999867264109</v>
      </c>
      <c r="G62" s="1">
        <v>6.2500010244548294E-5</v>
      </c>
      <c r="H62">
        <v>9746.5999867264109</v>
      </c>
      <c r="I62">
        <f t="shared" si="1"/>
        <v>1</v>
      </c>
      <c r="J62">
        <v>2.3410003632307001E-4</v>
      </c>
      <c r="M62">
        <v>6</v>
      </c>
      <c r="N62">
        <v>0</v>
      </c>
      <c r="O62">
        <f t="shared" si="2"/>
        <v>0.2</v>
      </c>
      <c r="P62">
        <v>9746.5999867264109</v>
      </c>
      <c r="Q62">
        <f t="shared" si="3"/>
        <v>1</v>
      </c>
      <c r="R62" s="1">
        <v>6.2500010244548294E-5</v>
      </c>
      <c r="S62" s="1">
        <v>0</v>
      </c>
      <c r="T62">
        <f t="shared" si="4"/>
        <v>0.2</v>
      </c>
      <c r="U62">
        <v>9746.5999867264109</v>
      </c>
      <c r="V62">
        <f t="shared" si="5"/>
        <v>1</v>
      </c>
      <c r="W62" s="1">
        <v>4.3499981984496103E-5</v>
      </c>
      <c r="X62" t="str">
        <f>IF(H62=MIN(H62,P62,U62),"Christofides",IF(P62=MIN(H62,P62,U62),"Arithmetic Series","Nearest Neighbor"))</f>
        <v>Christofides</v>
      </c>
      <c r="Y62">
        <f t="shared" si="6"/>
        <v>9746.5999867264109</v>
      </c>
      <c r="Z62">
        <f t="shared" si="7"/>
        <v>1</v>
      </c>
      <c r="AA62">
        <v>0</v>
      </c>
      <c r="AB62">
        <v>499</v>
      </c>
      <c r="AC62">
        <f t="shared" si="8"/>
        <v>0</v>
      </c>
      <c r="AD62">
        <v>0</v>
      </c>
      <c r="AE62">
        <v>9746.5999867264109</v>
      </c>
      <c r="AF62">
        <v>4</v>
      </c>
      <c r="AG62">
        <f t="shared" si="9"/>
        <v>8.0160320641282558E-3</v>
      </c>
      <c r="AH62" s="1">
        <v>1.81898940354585E-12</v>
      </c>
      <c r="AI62" s="4">
        <v>9746.5999867264109</v>
      </c>
      <c r="AJ62" s="4">
        <v>26</v>
      </c>
      <c r="AK62" s="4">
        <f t="shared" si="10"/>
        <v>5.2104208416833664E-2</v>
      </c>
      <c r="AL62">
        <v>9746.5999867264109</v>
      </c>
      <c r="AM62">
        <f t="shared" si="11"/>
        <v>1</v>
      </c>
      <c r="AN62">
        <v>2.30330001795664E-3</v>
      </c>
      <c r="AO62">
        <v>0</v>
      </c>
      <c r="AP62">
        <f t="shared" si="12"/>
        <v>0</v>
      </c>
      <c r="AQ62">
        <v>9746.5999867264109</v>
      </c>
      <c r="AR62">
        <f t="shared" si="13"/>
        <v>1</v>
      </c>
      <c r="AS62">
        <v>4.4784999918192599E-3</v>
      </c>
      <c r="AT62">
        <v>0</v>
      </c>
      <c r="AU62">
        <f t="shared" si="14"/>
        <v>0</v>
      </c>
      <c r="AV62">
        <v>9746.5999867264109</v>
      </c>
      <c r="AW62">
        <f t="shared" si="15"/>
        <v>1</v>
      </c>
      <c r="AX62">
        <v>8.2270003622397705E-4</v>
      </c>
      <c r="AY62" t="str">
        <f>IF(AL62=MIN(AL62,AQ62,AV62),"Simulated Annealing",IF(AQ62=MIN(AL62,AQ62,AV62),"Ant Colony Optimization","Genetic Algorithm"))</f>
        <v>Simulated Annealing</v>
      </c>
      <c r="AZ62">
        <f>MIN(AL62,AQ62,AV62)</f>
        <v>9746.5999867264109</v>
      </c>
      <c r="BA62">
        <f>AZ62/F62</f>
        <v>1</v>
      </c>
      <c r="BB62">
        <v>9746.5999867264109</v>
      </c>
      <c r="BC62">
        <f>BB62/F62</f>
        <v>1</v>
      </c>
      <c r="BD62">
        <v>0.33300000000000002</v>
      </c>
      <c r="BE62">
        <v>5</v>
      </c>
      <c r="BF62">
        <v>5.0739999999999998</v>
      </c>
    </row>
    <row r="63" spans="1:58" x14ac:dyDescent="0.3">
      <c r="A63">
        <v>62</v>
      </c>
      <c r="B63">
        <v>15</v>
      </c>
      <c r="C63">
        <v>46.559145280614402</v>
      </c>
      <c r="D63">
        <v>3083.4341797470502</v>
      </c>
      <c r="E63">
        <f t="shared" si="0"/>
        <v>55.52867889430695</v>
      </c>
      <c r="F63">
        <v>13990.501240375101</v>
      </c>
      <c r="G63">
        <v>6.3820002833381295E-4</v>
      </c>
      <c r="H63">
        <v>16497.8109703462</v>
      </c>
      <c r="I63">
        <f t="shared" si="1"/>
        <v>1.1792151465406593</v>
      </c>
      <c r="J63">
        <v>1.15670001832768E-3</v>
      </c>
      <c r="K63">
        <v>547.79335113620095</v>
      </c>
      <c r="L63" t="s">
        <v>44</v>
      </c>
      <c r="M63">
        <v>0</v>
      </c>
      <c r="N63">
        <v>3</v>
      </c>
      <c r="O63">
        <f t="shared" si="2"/>
        <v>0.26666666666666666</v>
      </c>
      <c r="P63">
        <v>16048.0679507969</v>
      </c>
      <c r="Q63">
        <f t="shared" si="3"/>
        <v>1.1470688344234501</v>
      </c>
      <c r="R63">
        <v>6.3820002833381295E-4</v>
      </c>
      <c r="S63">
        <v>1</v>
      </c>
      <c r="T63">
        <f t="shared" si="4"/>
        <v>0.13333333333333333</v>
      </c>
      <c r="U63">
        <v>15642.9023258167</v>
      </c>
      <c r="V63">
        <f t="shared" si="5"/>
        <v>1.1181087837419967</v>
      </c>
      <c r="W63">
        <v>2.05200049094855E-4</v>
      </c>
      <c r="X63" t="str">
        <f>IF(H63=MIN(H63,P63,U63),"Christofides",IF(P63=MIN(H63,P63,U63),"Arithmetic Series","Nearest Neighbor"))</f>
        <v>Nearest Neighbor</v>
      </c>
      <c r="Y63">
        <f t="shared" si="6"/>
        <v>15642.9023258167</v>
      </c>
      <c r="Z63">
        <f t="shared" si="7"/>
        <v>1.1181087837419967</v>
      </c>
      <c r="AA63">
        <v>0</v>
      </c>
      <c r="AB63">
        <v>1499</v>
      </c>
      <c r="AC63">
        <f t="shared" si="8"/>
        <v>0</v>
      </c>
      <c r="AD63">
        <v>0</v>
      </c>
      <c r="AE63">
        <v>15642.9023258167</v>
      </c>
      <c r="AF63">
        <v>1</v>
      </c>
      <c r="AG63">
        <f t="shared" si="9"/>
        <v>6.6711140760506999E-4</v>
      </c>
      <c r="AH63" s="1">
        <v>3.6379788070917101E-12</v>
      </c>
      <c r="AI63" s="4">
        <v>15642.9023258167</v>
      </c>
      <c r="AJ63" s="4">
        <v>255</v>
      </c>
      <c r="AK63" s="4">
        <f t="shared" si="10"/>
        <v>0.17011340893929286</v>
      </c>
      <c r="AL63">
        <v>15642.9023258167</v>
      </c>
      <c r="AM63">
        <f t="shared" si="11"/>
        <v>1.1181087837419967</v>
      </c>
      <c r="AN63">
        <v>1.14911999553442E-2</v>
      </c>
      <c r="AO63">
        <v>0</v>
      </c>
      <c r="AP63">
        <f t="shared" si="12"/>
        <v>0</v>
      </c>
      <c r="AQ63">
        <v>15642.9023258167</v>
      </c>
      <c r="AR63">
        <f t="shared" si="13"/>
        <v>1.1181087837419967</v>
      </c>
      <c r="AS63">
        <v>3.0694300017785201E-2</v>
      </c>
      <c r="AT63">
        <v>0</v>
      </c>
      <c r="AU63">
        <f t="shared" si="14"/>
        <v>0</v>
      </c>
      <c r="AV63">
        <v>15642.9023258167</v>
      </c>
      <c r="AW63">
        <f t="shared" si="15"/>
        <v>1.1181087837419967</v>
      </c>
      <c r="AX63">
        <v>1.16543000331148E-2</v>
      </c>
      <c r="AY63" t="str">
        <f>IF(AL63=MIN(AL63,AQ63,AV63),"Simulated Annealing",IF(AQ63=MIN(AL63,AQ63,AV63),"Ant Colony Optimization","Genetic Algorithm"))</f>
        <v>Simulated Annealing</v>
      </c>
      <c r="AZ63">
        <f>MIN(AL63,AQ63,AV63)</f>
        <v>15642.9023258167</v>
      </c>
      <c r="BA63">
        <f>AZ63/F63</f>
        <v>1.1181087837419967</v>
      </c>
      <c r="BB63">
        <v>15375.317244382401</v>
      </c>
      <c r="BC63">
        <f>BB63/F63</f>
        <v>1.0989825868433412</v>
      </c>
      <c r="BD63">
        <v>0.35</v>
      </c>
      <c r="BE63">
        <v>5</v>
      </c>
      <c r="BF63">
        <v>5.0419999999999998</v>
      </c>
    </row>
    <row r="64" spans="1:58" x14ac:dyDescent="0.3">
      <c r="A64">
        <v>63</v>
      </c>
      <c r="B64">
        <v>25</v>
      </c>
      <c r="C64">
        <v>17.395952129155901</v>
      </c>
      <c r="D64">
        <v>618.16904505242201</v>
      </c>
      <c r="E64">
        <f t="shared" si="0"/>
        <v>24.863005551469879</v>
      </c>
      <c r="F64">
        <v>19528.896999808901</v>
      </c>
      <c r="G64">
        <v>2.1781999967060901E-3</v>
      </c>
      <c r="H64">
        <v>22972.527766344501</v>
      </c>
      <c r="I64">
        <f t="shared" si="1"/>
        <v>1.1763351389773471</v>
      </c>
      <c r="J64">
        <v>3.17819998599588E-3</v>
      </c>
      <c r="K64">
        <v>2027.64055804496</v>
      </c>
      <c r="L64" t="s">
        <v>44</v>
      </c>
      <c r="M64">
        <v>0</v>
      </c>
      <c r="N64">
        <v>15</v>
      </c>
      <c r="O64">
        <f t="shared" si="2"/>
        <v>0.64</v>
      </c>
      <c r="P64">
        <v>21090.736767792001</v>
      </c>
      <c r="Q64">
        <f t="shared" si="3"/>
        <v>1.0799758310978025</v>
      </c>
      <c r="R64">
        <v>2.1781999967060901E-3</v>
      </c>
      <c r="S64">
        <v>3</v>
      </c>
      <c r="T64">
        <f t="shared" si="4"/>
        <v>0.16</v>
      </c>
      <c r="U64">
        <v>20633.758384935201</v>
      </c>
      <c r="V64">
        <f t="shared" si="5"/>
        <v>1.0565757187995364</v>
      </c>
      <c r="W64">
        <v>5.7879998348653295E-4</v>
      </c>
      <c r="X64" t="str">
        <f>IF(H64=MIN(H64,P64,U64),"Christofides",IF(P64=MIN(H64,P64,U64),"Arithmetic Series","Nearest Neighbor"))</f>
        <v>Nearest Neighbor</v>
      </c>
      <c r="Y64">
        <f t="shared" si="6"/>
        <v>20633.758384935201</v>
      </c>
      <c r="Z64">
        <f t="shared" si="7"/>
        <v>1.0565757187995364</v>
      </c>
      <c r="AA64">
        <v>2253</v>
      </c>
      <c r="AB64">
        <v>2499</v>
      </c>
      <c r="AC64">
        <f t="shared" si="8"/>
        <v>0.90156062424969985</v>
      </c>
      <c r="AD64">
        <v>0</v>
      </c>
      <c r="AE64">
        <v>20633.758384935201</v>
      </c>
      <c r="AF64">
        <v>3</v>
      </c>
      <c r="AG64">
        <f t="shared" si="9"/>
        <v>1.2004801920768306E-3</v>
      </c>
      <c r="AH64" s="1">
        <v>1.09139364212751E-11</v>
      </c>
      <c r="AI64" s="4">
        <v>20633.758384935201</v>
      </c>
      <c r="AJ64" s="4">
        <v>568</v>
      </c>
      <c r="AK64" s="4">
        <f t="shared" si="10"/>
        <v>0.22729091636654661</v>
      </c>
      <c r="AL64">
        <v>20545.941531140899</v>
      </c>
      <c r="AM64">
        <f t="shared" si="11"/>
        <v>1.0520789541437978</v>
      </c>
      <c r="AN64">
        <v>2.9430200054775899E-2</v>
      </c>
      <c r="AO64">
        <v>6</v>
      </c>
      <c r="AP64">
        <f t="shared" si="12"/>
        <v>0.6</v>
      </c>
      <c r="AQ64">
        <v>20545.941531140899</v>
      </c>
      <c r="AR64">
        <f t="shared" si="13"/>
        <v>1.0520789541437978</v>
      </c>
      <c r="AS64">
        <v>8.0530099978204803E-2</v>
      </c>
      <c r="AT64">
        <v>54</v>
      </c>
      <c r="AU64">
        <f t="shared" si="14"/>
        <v>0.54</v>
      </c>
      <c r="AV64">
        <v>20545.941531140899</v>
      </c>
      <c r="AW64">
        <f t="shared" si="15"/>
        <v>1.0520789541437978</v>
      </c>
      <c r="AX64">
        <v>3.0239399988204199E-2</v>
      </c>
      <c r="AY64" t="str">
        <f>IF(AL64=MIN(AL64,AQ64,AV64),"Simulated Annealing",IF(AQ64=MIN(AL64,AQ64,AV64),"Ant Colony Optimization","Genetic Algorithm"))</f>
        <v>Simulated Annealing</v>
      </c>
      <c r="AZ64">
        <f>MIN(AL64,AQ64,AV64)</f>
        <v>20545.941531140899</v>
      </c>
      <c r="BA64">
        <f>AZ64/F64</f>
        <v>1.0520789541437978</v>
      </c>
      <c r="BB64">
        <v>20545.941531140899</v>
      </c>
      <c r="BC64">
        <f>BB64/F64</f>
        <v>1.0520789541437978</v>
      </c>
      <c r="BD64">
        <v>0.31900000000000001</v>
      </c>
      <c r="BE64">
        <v>5</v>
      </c>
      <c r="BF64">
        <v>5</v>
      </c>
    </row>
    <row r="65" spans="1:58" x14ac:dyDescent="0.3">
      <c r="A65">
        <v>64</v>
      </c>
      <c r="B65">
        <v>35</v>
      </c>
      <c r="C65">
        <v>9.62238436847292</v>
      </c>
      <c r="D65">
        <v>402.772499033364</v>
      </c>
      <c r="E65">
        <f t="shared" si="0"/>
        <v>20.069192784797398</v>
      </c>
      <c r="F65">
        <v>22322.414934076802</v>
      </c>
      <c r="G65">
        <v>4.7753999824635598E-3</v>
      </c>
      <c r="H65">
        <v>27651.738956249901</v>
      </c>
      <c r="I65">
        <f t="shared" si="1"/>
        <v>1.2387431663604414</v>
      </c>
      <c r="J65">
        <v>5.3104999824426999E-3</v>
      </c>
      <c r="K65">
        <v>4606.1735349995297</v>
      </c>
      <c r="L65" t="s">
        <v>44</v>
      </c>
      <c r="M65">
        <v>0</v>
      </c>
      <c r="N65">
        <v>28</v>
      </c>
      <c r="O65">
        <f t="shared" si="2"/>
        <v>0.82857142857142863</v>
      </c>
      <c r="P65">
        <v>31511.104284467201</v>
      </c>
      <c r="Q65">
        <f t="shared" si="3"/>
        <v>1.4116350931351604</v>
      </c>
      <c r="R65">
        <v>4.7753999824635598E-3</v>
      </c>
      <c r="S65">
        <v>17</v>
      </c>
      <c r="T65">
        <f t="shared" si="4"/>
        <v>0.51428571428571423</v>
      </c>
      <c r="U65">
        <v>27220.606298338698</v>
      </c>
      <c r="V65">
        <f t="shared" si="5"/>
        <v>1.2194292767483883</v>
      </c>
      <c r="W65">
        <v>1.3999000075273201E-3</v>
      </c>
      <c r="X65" t="str">
        <f>IF(H65=MIN(H65,P65,U65),"Christofides",IF(P65=MIN(H65,P65,U65),"Arithmetic Series","Nearest Neighbor"))</f>
        <v>Nearest Neighbor</v>
      </c>
      <c r="Y65">
        <f t="shared" si="6"/>
        <v>27220.606298338698</v>
      </c>
      <c r="Z65">
        <f t="shared" si="7"/>
        <v>1.2194292767483883</v>
      </c>
      <c r="AA65">
        <v>3303</v>
      </c>
      <c r="AB65">
        <v>3499</v>
      </c>
      <c r="AC65">
        <f t="shared" si="8"/>
        <v>0.94398399542726497</v>
      </c>
      <c r="AD65">
        <v>0</v>
      </c>
      <c r="AE65">
        <v>27220.606298338698</v>
      </c>
      <c r="AF65">
        <v>4</v>
      </c>
      <c r="AG65">
        <f t="shared" si="9"/>
        <v>1.1431837667905116E-3</v>
      </c>
      <c r="AH65" s="1">
        <v>7.2759576141834202E-12</v>
      </c>
      <c r="AI65" s="4">
        <v>26063.050634347699</v>
      </c>
      <c r="AJ65" s="4">
        <v>821</v>
      </c>
      <c r="AK65" s="4">
        <f t="shared" si="10"/>
        <v>0.2346384681337525</v>
      </c>
      <c r="AL65">
        <v>25435.117996101901</v>
      </c>
      <c r="AM65">
        <f t="shared" si="11"/>
        <v>1.1394429353283515</v>
      </c>
      <c r="AN65">
        <v>5.96830999711528E-2</v>
      </c>
      <c r="AO65">
        <v>4</v>
      </c>
      <c r="AP65">
        <f t="shared" si="12"/>
        <v>0.4</v>
      </c>
      <c r="AQ65">
        <v>26341.002712630299</v>
      </c>
      <c r="AR65">
        <f t="shared" si="13"/>
        <v>1.1800247773559136</v>
      </c>
      <c r="AS65">
        <v>0.16556460002902801</v>
      </c>
      <c r="AT65">
        <v>0</v>
      </c>
      <c r="AU65">
        <f t="shared" si="14"/>
        <v>0</v>
      </c>
      <c r="AV65">
        <v>27220.606298338698</v>
      </c>
      <c r="AW65">
        <f t="shared" si="15"/>
        <v>1.2194292767483883</v>
      </c>
      <c r="AX65">
        <v>6.9052199949510396E-2</v>
      </c>
      <c r="AY65" t="str">
        <f>IF(AL65=MIN(AL65,AQ65,AV65),"Simulated Annealing",IF(AQ65=MIN(AL65,AQ65,AV65),"Ant Colony Optimization","Genetic Algorithm"))</f>
        <v>Simulated Annealing</v>
      </c>
      <c r="AZ65">
        <f>MIN(AL65,AQ65,AV65)</f>
        <v>25435.117996101901</v>
      </c>
      <c r="BA65">
        <f>AZ65/F65</f>
        <v>1.1394429353283515</v>
      </c>
      <c r="BB65">
        <v>24980.991356023402</v>
      </c>
      <c r="BC65">
        <f>BB65/F65</f>
        <v>1.1190989608336726</v>
      </c>
      <c r="BD65">
        <v>0.33500000000000002</v>
      </c>
      <c r="BE65">
        <v>5</v>
      </c>
      <c r="BF65">
        <v>5</v>
      </c>
    </row>
    <row r="66" spans="1:58" x14ac:dyDescent="0.3">
      <c r="A66">
        <v>65</v>
      </c>
      <c r="B66">
        <v>45</v>
      </c>
      <c r="C66">
        <v>5.8677179678791003</v>
      </c>
      <c r="D66">
        <v>95.813920672439593</v>
      </c>
      <c r="E66">
        <f t="shared" si="0"/>
        <v>9.7884585442468719</v>
      </c>
      <c r="F66">
        <v>25531.026964721401</v>
      </c>
      <c r="G66">
        <v>1.0409699985757401E-2</v>
      </c>
      <c r="H66">
        <v>28023.754824266001</v>
      </c>
      <c r="I66">
        <f t="shared" si="1"/>
        <v>1.0976352366471209</v>
      </c>
      <c r="J66">
        <v>8.74159997329115E-3</v>
      </c>
      <c r="K66">
        <v>8411.5070484096996</v>
      </c>
      <c r="L66" t="s">
        <v>44</v>
      </c>
      <c r="M66">
        <v>0</v>
      </c>
      <c r="N66">
        <v>32</v>
      </c>
      <c r="O66">
        <f t="shared" si="2"/>
        <v>0.73333333333333328</v>
      </c>
      <c r="P66">
        <v>31601.5445892155</v>
      </c>
      <c r="Q66">
        <f t="shared" si="3"/>
        <v>1.2377702092783929</v>
      </c>
      <c r="R66">
        <v>1.0409699985757401E-2</v>
      </c>
      <c r="S66">
        <v>44</v>
      </c>
      <c r="T66">
        <f t="shared" si="4"/>
        <v>1</v>
      </c>
      <c r="U66">
        <v>27711.3194047574</v>
      </c>
      <c r="V66">
        <f t="shared" si="5"/>
        <v>1.0853977571309104</v>
      </c>
      <c r="W66">
        <v>2.7765000122599299E-3</v>
      </c>
      <c r="X66" t="str">
        <f>IF(H66=MIN(H66,P66,U66),"Christofides",IF(P66=MIN(H66,P66,U66),"Arithmetic Series","Nearest Neighbor"))</f>
        <v>Nearest Neighbor</v>
      </c>
      <c r="Y66">
        <f t="shared" si="6"/>
        <v>27711.3194047574</v>
      </c>
      <c r="Z66">
        <f t="shared" si="7"/>
        <v>1.0853977571309104</v>
      </c>
      <c r="AA66">
        <v>2682</v>
      </c>
      <c r="AB66">
        <v>4055</v>
      </c>
      <c r="AC66">
        <f t="shared" si="8"/>
        <v>0.66140567200986433</v>
      </c>
      <c r="AD66">
        <v>0</v>
      </c>
      <c r="AE66">
        <v>27711.3194047574</v>
      </c>
      <c r="AF66">
        <v>7</v>
      </c>
      <c r="AG66">
        <f t="shared" si="9"/>
        <v>1.7262638717632551E-3</v>
      </c>
      <c r="AH66" s="1">
        <v>1.45519152283668E-11</v>
      </c>
      <c r="AI66" s="4">
        <v>27218.360988333799</v>
      </c>
      <c r="AJ66" s="4">
        <v>2689</v>
      </c>
      <c r="AK66" s="4">
        <f t="shared" si="10"/>
        <v>0.66313193588162767</v>
      </c>
      <c r="AL66">
        <v>27218.360988333799</v>
      </c>
      <c r="AM66">
        <f t="shared" si="11"/>
        <v>1.0660895476685659</v>
      </c>
      <c r="AN66">
        <v>8.9930700021795901E-2</v>
      </c>
      <c r="AO66">
        <v>10</v>
      </c>
      <c r="AP66">
        <f t="shared" si="12"/>
        <v>1</v>
      </c>
      <c r="AQ66">
        <v>27253.286827583201</v>
      </c>
      <c r="AR66">
        <f t="shared" si="13"/>
        <v>1.0674575239469062</v>
      </c>
      <c r="AS66">
        <v>0.27171559998532702</v>
      </c>
      <c r="AT66">
        <v>32</v>
      </c>
      <c r="AU66">
        <f t="shared" si="14"/>
        <v>0.32</v>
      </c>
      <c r="AV66">
        <v>27245.732961708101</v>
      </c>
      <c r="AW66">
        <f t="shared" si="15"/>
        <v>1.0671616539105955</v>
      </c>
      <c r="AX66">
        <v>0.10799009999027399</v>
      </c>
      <c r="AY66" t="str">
        <f>IF(AL66=MIN(AL66,AQ66,AV66),"Simulated Annealing",IF(AQ66=MIN(AL66,AQ66,AV66),"Ant Colony Optimization","Genetic Algorithm"))</f>
        <v>Simulated Annealing</v>
      </c>
      <c r="AZ66">
        <f>MIN(AL66,AQ66,AV66)</f>
        <v>27218.360988333799</v>
      </c>
      <c r="BA66">
        <f>AZ66/F66</f>
        <v>1.0660895476685659</v>
      </c>
      <c r="BB66">
        <v>27014.908210874699</v>
      </c>
      <c r="BC66">
        <f>BB66/F66</f>
        <v>1.0581207034172073</v>
      </c>
      <c r="BD66">
        <v>0.32</v>
      </c>
      <c r="BE66">
        <v>5</v>
      </c>
      <c r="BF66">
        <v>5</v>
      </c>
    </row>
    <row r="67" spans="1:58" x14ac:dyDescent="0.3">
      <c r="A67">
        <v>66</v>
      </c>
      <c r="B67">
        <v>55</v>
      </c>
      <c r="C67">
        <v>4.0189022153104696</v>
      </c>
      <c r="D67">
        <v>120.069346360483</v>
      </c>
      <c r="E67">
        <f t="shared" ref="E67:E121" si="16">SQRT(D67)</f>
        <v>10.957615906778399</v>
      </c>
      <c r="F67">
        <v>24606.069034005999</v>
      </c>
      <c r="G67">
        <v>1.7568699957337199E-2</v>
      </c>
      <c r="H67">
        <v>33756.271108975001</v>
      </c>
      <c r="I67">
        <f t="shared" ref="I67:I121" si="17">H67/F67</f>
        <v>1.3718676909474354</v>
      </c>
      <c r="J67">
        <v>1.28216000157408E-2</v>
      </c>
      <c r="K67">
        <v>13495.6953883732</v>
      </c>
      <c r="L67" t="s">
        <v>44</v>
      </c>
      <c r="M67">
        <v>1</v>
      </c>
      <c r="N67">
        <v>5</v>
      </c>
      <c r="O67">
        <f t="shared" ref="O67:O121" si="18">(N67+1)/B67</f>
        <v>0.10909090909090909</v>
      </c>
      <c r="P67">
        <v>33210.876066430501</v>
      </c>
      <c r="Q67">
        <f t="shared" ref="Q67:Q121" si="19">P67/F67</f>
        <v>1.3497026290762866</v>
      </c>
      <c r="R67">
        <v>1.7568699957337199E-2</v>
      </c>
      <c r="S67">
        <v>36</v>
      </c>
      <c r="T67">
        <f t="shared" ref="T67:T121" si="20">(S67+1)/B67</f>
        <v>0.67272727272727273</v>
      </c>
      <c r="U67">
        <v>31281.159117969499</v>
      </c>
      <c r="V67">
        <f t="shared" ref="V67:V121" si="21">U67/F67</f>
        <v>1.2712781986727915</v>
      </c>
      <c r="W67">
        <v>4.9564999644644498E-3</v>
      </c>
      <c r="X67" t="str">
        <f>IF(H67=MIN(H67,P67,U67),"Christofides",IF(P67=MIN(H67,P67,U67),"Arithmetic Series","Nearest Neighbor"))</f>
        <v>Nearest Neighbor</v>
      </c>
      <c r="Y67">
        <f t="shared" ref="Y67:Y121" si="22">MIN(H67,P67,U67)</f>
        <v>31281.159117969499</v>
      </c>
      <c r="Z67">
        <f t="shared" ref="Z67:Z121" si="23">Y67/F67</f>
        <v>1.2712781986727915</v>
      </c>
      <c r="AA67">
        <v>3588</v>
      </c>
      <c r="AB67">
        <v>4075</v>
      </c>
      <c r="AC67">
        <f t="shared" ref="AC67:AC121" si="24">AA67/AB67</f>
        <v>0.88049079754601223</v>
      </c>
      <c r="AD67">
        <v>0</v>
      </c>
      <c r="AE67">
        <v>31281.159117969499</v>
      </c>
      <c r="AF67">
        <v>158</v>
      </c>
      <c r="AG67">
        <f t="shared" ref="AG67:AG121" si="25">AF67/AB67</f>
        <v>3.8773006134969326E-2</v>
      </c>
      <c r="AH67" s="1">
        <v>1.45519152283668E-11</v>
      </c>
      <c r="AI67" s="4">
        <v>31281.159117969499</v>
      </c>
      <c r="AJ67" s="4">
        <v>158</v>
      </c>
      <c r="AK67" s="4">
        <f t="shared" ref="AK67:AK120" si="26">AJ67/AB67</f>
        <v>3.8773006134969326E-2</v>
      </c>
      <c r="AL67">
        <v>29798.140834535701</v>
      </c>
      <c r="AM67">
        <f t="shared" ref="AM67:AM121" si="27">AL67/F67</f>
        <v>1.2110077718368657</v>
      </c>
      <c r="AN67">
        <v>9.6126799995545298E-2</v>
      </c>
      <c r="AO67">
        <v>0</v>
      </c>
      <c r="AP67">
        <f t="shared" ref="AP67:AP121" si="28">AO67/10</f>
        <v>0</v>
      </c>
      <c r="AQ67">
        <v>31281.159117969499</v>
      </c>
      <c r="AR67">
        <f t="shared" ref="AR67:AR121" si="29">AQ67/F67</f>
        <v>1.2712781986727915</v>
      </c>
      <c r="AS67">
        <v>0.44916800002101798</v>
      </c>
      <c r="AT67">
        <v>90</v>
      </c>
      <c r="AU67">
        <f t="shared" ref="AU67:AU121" si="30">AT67/100</f>
        <v>0.9</v>
      </c>
      <c r="AV67">
        <v>30646.687372590099</v>
      </c>
      <c r="AW67">
        <f t="shared" ref="AW67:AW121" si="31">AV67/F67</f>
        <v>1.2454930257342554</v>
      </c>
      <c r="AX67">
        <v>0.18862979998811999</v>
      </c>
      <c r="AY67" t="str">
        <f>IF(AL67=MIN(AL67,AQ67,AV67),"Simulated Annealing",IF(AQ67=MIN(AL67,AQ67,AV67),"Ant Colony Optimization","Genetic Algorithm"))</f>
        <v>Simulated Annealing</v>
      </c>
      <c r="AZ67">
        <f>MIN(AL67,AQ67,AV67)</f>
        <v>29798.140834535701</v>
      </c>
      <c r="BA67">
        <f>AZ67/F67</f>
        <v>1.2110077718368657</v>
      </c>
      <c r="BB67">
        <v>28614.5768837459</v>
      </c>
      <c r="BC67">
        <f>BB67/F67</f>
        <v>1.1629072829227649</v>
      </c>
      <c r="BD67">
        <v>0.28799999999999998</v>
      </c>
      <c r="BE67">
        <v>5</v>
      </c>
      <c r="BF67">
        <v>5.1059999999999999</v>
      </c>
    </row>
    <row r="68" spans="1:58" x14ac:dyDescent="0.3">
      <c r="A68">
        <v>67</v>
      </c>
      <c r="B68">
        <v>65</v>
      </c>
      <c r="C68">
        <v>2.84766375289301</v>
      </c>
      <c r="D68">
        <v>36.602934290502397</v>
      </c>
      <c r="E68">
        <f t="shared" si="16"/>
        <v>6.0500358916705936</v>
      </c>
      <c r="F68">
        <v>28682.8140893093</v>
      </c>
      <c r="G68">
        <v>2.9582299990579399E-2</v>
      </c>
      <c r="H68">
        <v>36320.427736685502</v>
      </c>
      <c r="I68">
        <f t="shared" si="17"/>
        <v>1.266278393172827</v>
      </c>
      <c r="J68">
        <v>1.7779099987819701E-2</v>
      </c>
      <c r="K68">
        <v>19914.972535315799</v>
      </c>
      <c r="L68" t="s">
        <v>44</v>
      </c>
      <c r="M68">
        <v>0</v>
      </c>
      <c r="N68">
        <v>57</v>
      </c>
      <c r="O68">
        <f t="shared" si="18"/>
        <v>0.89230769230769236</v>
      </c>
      <c r="P68">
        <v>36583.658588090802</v>
      </c>
      <c r="Q68">
        <f t="shared" si="19"/>
        <v>1.2754556953226677</v>
      </c>
      <c r="R68">
        <v>2.9582299990579399E-2</v>
      </c>
      <c r="S68">
        <v>34</v>
      </c>
      <c r="T68">
        <f t="shared" si="20"/>
        <v>0.53846153846153844</v>
      </c>
      <c r="U68">
        <v>32750.105378946198</v>
      </c>
      <c r="V68">
        <f t="shared" si="21"/>
        <v>1.1418023795354468</v>
      </c>
      <c r="W68">
        <v>1.21877000201493E-2</v>
      </c>
      <c r="X68" t="str">
        <f>IF(H68=MIN(H68,P68,U68),"Christofides",IF(P68=MIN(H68,P68,U68),"Arithmetic Series","Nearest Neighbor"))</f>
        <v>Nearest Neighbor</v>
      </c>
      <c r="Y68">
        <f t="shared" si="22"/>
        <v>32750.105378946198</v>
      </c>
      <c r="Z68">
        <f t="shared" si="23"/>
        <v>1.1418023795354468</v>
      </c>
      <c r="AA68">
        <v>3871</v>
      </c>
      <c r="AB68">
        <v>4092</v>
      </c>
      <c r="AC68">
        <f t="shared" si="24"/>
        <v>0.94599217986314765</v>
      </c>
      <c r="AD68">
        <v>0</v>
      </c>
      <c r="AE68">
        <v>32663.388370056</v>
      </c>
      <c r="AF68">
        <v>75</v>
      </c>
      <c r="AG68">
        <f t="shared" si="25"/>
        <v>1.8328445747800588E-2</v>
      </c>
      <c r="AH68" s="1">
        <v>7.2759576141834202E-12</v>
      </c>
      <c r="AI68" s="4">
        <v>32663.388370056</v>
      </c>
      <c r="AJ68" s="4">
        <v>199</v>
      </c>
      <c r="AK68" s="4">
        <f t="shared" si="26"/>
        <v>4.8631476050830888E-2</v>
      </c>
      <c r="AL68">
        <v>32409.883951897398</v>
      </c>
      <c r="AM68">
        <f t="shared" si="27"/>
        <v>1.129940871595903</v>
      </c>
      <c r="AN68">
        <v>0.11507309996522901</v>
      </c>
      <c r="AO68">
        <v>10</v>
      </c>
      <c r="AP68">
        <f t="shared" si="28"/>
        <v>1</v>
      </c>
      <c r="AQ68">
        <v>31817.1656760242</v>
      </c>
      <c r="AR68">
        <f t="shared" si="29"/>
        <v>1.1092762926592736</v>
      </c>
      <c r="AS68">
        <v>0.61395490000722897</v>
      </c>
      <c r="AT68">
        <v>83</v>
      </c>
      <c r="AU68">
        <f t="shared" si="30"/>
        <v>0.83</v>
      </c>
      <c r="AV68">
        <v>32563.2012366854</v>
      </c>
      <c r="AW68">
        <f t="shared" si="31"/>
        <v>1.1352861380788437</v>
      </c>
      <c r="AX68">
        <v>0.26785639999434302</v>
      </c>
      <c r="AY68" t="str">
        <f>IF(AL68=MIN(AL68,AQ68,AV68),"Simulated Annealing",IF(AQ68=MIN(AL68,AQ68,AV68),"Ant Colony Optimization","Genetic Algorithm"))</f>
        <v>Ant Colony Optimization</v>
      </c>
      <c r="AZ68">
        <f>MIN(AL68,AQ68,AV68)</f>
        <v>31817.1656760242</v>
      </c>
      <c r="BA68">
        <f>AZ68/F68</f>
        <v>1.1092762926592736</v>
      </c>
      <c r="BB68">
        <v>30789.3510299193</v>
      </c>
      <c r="BC68">
        <f>BB68/F68</f>
        <v>1.0734424779260119</v>
      </c>
      <c r="BD68">
        <v>0.28799999999999998</v>
      </c>
      <c r="BE68">
        <v>5</v>
      </c>
      <c r="BF68">
        <v>5.0510000000000002</v>
      </c>
    </row>
    <row r="69" spans="1:58" x14ac:dyDescent="0.3">
      <c r="A69">
        <v>68</v>
      </c>
      <c r="B69">
        <v>75</v>
      </c>
      <c r="C69">
        <v>2.3018046434665802</v>
      </c>
      <c r="D69">
        <v>62.903320824389702</v>
      </c>
      <c r="E69">
        <f t="shared" si="16"/>
        <v>7.9311613792930542</v>
      </c>
      <c r="F69">
        <v>29890.473923024299</v>
      </c>
      <c r="G69">
        <v>4.2203799996059298E-2</v>
      </c>
      <c r="H69">
        <v>38273.847443862403</v>
      </c>
      <c r="I69">
        <f t="shared" si="17"/>
        <v>1.2804697423810496</v>
      </c>
      <c r="J69">
        <v>2.4622500000987198E-2</v>
      </c>
      <c r="K69">
        <v>27721.920397764901</v>
      </c>
      <c r="L69" t="s">
        <v>44</v>
      </c>
      <c r="M69">
        <v>0</v>
      </c>
      <c r="N69">
        <v>67</v>
      </c>
      <c r="O69">
        <f t="shared" si="18"/>
        <v>0.90666666666666662</v>
      </c>
      <c r="P69">
        <v>44461.667594532802</v>
      </c>
      <c r="Q69">
        <f t="shared" si="19"/>
        <v>1.4874862041007813</v>
      </c>
      <c r="R69">
        <v>4.2203799996059298E-2</v>
      </c>
      <c r="S69">
        <v>58</v>
      </c>
      <c r="T69">
        <f t="shared" si="20"/>
        <v>0.78666666666666663</v>
      </c>
      <c r="U69">
        <v>39206.478836018898</v>
      </c>
      <c r="V69">
        <f t="shared" si="21"/>
        <v>1.3116713685097707</v>
      </c>
      <c r="W69">
        <v>1.21911999885924E-2</v>
      </c>
      <c r="X69" t="str">
        <f>IF(H69=MIN(H69,P69,U69),"Christofides",IF(P69=MIN(H69,P69,U69),"Arithmetic Series","Nearest Neighbor"))</f>
        <v>Christofides</v>
      </c>
      <c r="Y69">
        <f t="shared" si="22"/>
        <v>38273.847443862403</v>
      </c>
      <c r="Z69">
        <f t="shared" si="23"/>
        <v>1.2804697423810496</v>
      </c>
      <c r="AA69">
        <v>4016</v>
      </c>
      <c r="AB69">
        <v>4106</v>
      </c>
      <c r="AC69">
        <f t="shared" si="24"/>
        <v>0.97808085728202632</v>
      </c>
      <c r="AD69">
        <v>0</v>
      </c>
      <c r="AE69">
        <v>38273.847443862403</v>
      </c>
      <c r="AF69">
        <v>15</v>
      </c>
      <c r="AG69">
        <f t="shared" si="25"/>
        <v>3.653190452995616E-3</v>
      </c>
      <c r="AH69" s="1">
        <v>2.18278728425502E-11</v>
      </c>
      <c r="AI69" s="4">
        <v>36719.110565363102</v>
      </c>
      <c r="AJ69" s="4">
        <v>1763</v>
      </c>
      <c r="AK69" s="4">
        <f t="shared" si="26"/>
        <v>0.42937165124208476</v>
      </c>
      <c r="AL69">
        <v>35732.241934932899</v>
      </c>
      <c r="AM69">
        <f t="shared" si="27"/>
        <v>1.1954391230782311</v>
      </c>
      <c r="AN69">
        <v>0.128521599981468</v>
      </c>
      <c r="AO69">
        <v>4</v>
      </c>
      <c r="AP69">
        <f t="shared" si="28"/>
        <v>0.4</v>
      </c>
      <c r="AQ69">
        <v>38050.069363848299</v>
      </c>
      <c r="AR69">
        <f t="shared" si="29"/>
        <v>1.2729831404425727</v>
      </c>
      <c r="AS69">
        <v>0.86546579998685003</v>
      </c>
      <c r="AT69">
        <v>15</v>
      </c>
      <c r="AU69">
        <f t="shared" si="30"/>
        <v>0.15</v>
      </c>
      <c r="AV69">
        <v>38169.589833544102</v>
      </c>
      <c r="AW69">
        <f t="shared" si="31"/>
        <v>1.2769817545161937</v>
      </c>
      <c r="AX69">
        <v>0.38251560000935497</v>
      </c>
      <c r="AY69" t="str">
        <f>IF(AL69=MIN(AL69,AQ69,AV69),"Simulated Annealing",IF(AQ69=MIN(AL69,AQ69,AV69),"Ant Colony Optimization","Genetic Algorithm"))</f>
        <v>Simulated Annealing</v>
      </c>
      <c r="AZ69">
        <f>MIN(AL69,AQ69,AV69)</f>
        <v>35732.241934932899</v>
      </c>
      <c r="BA69">
        <f>AZ69/F69</f>
        <v>1.1954391230782311</v>
      </c>
      <c r="BB69">
        <v>34178.996529670403</v>
      </c>
      <c r="BC69">
        <f>BB69/F69</f>
        <v>1.1434745604131322</v>
      </c>
      <c r="BD69">
        <v>0.28799999999999998</v>
      </c>
      <c r="BE69">
        <v>5</v>
      </c>
      <c r="BF69">
        <v>5.0350000000000001</v>
      </c>
    </row>
    <row r="70" spans="1:58" x14ac:dyDescent="0.3">
      <c r="A70">
        <v>69</v>
      </c>
      <c r="B70">
        <v>85</v>
      </c>
      <c r="C70">
        <v>1.80964871728331</v>
      </c>
      <c r="D70">
        <v>35.835629515580401</v>
      </c>
      <c r="E70">
        <f t="shared" si="16"/>
        <v>5.9862867886178321</v>
      </c>
      <c r="F70">
        <v>32923.617303063897</v>
      </c>
      <c r="G70">
        <v>6.3612200028728694E-2</v>
      </c>
      <c r="H70">
        <v>42037.576863635099</v>
      </c>
      <c r="I70">
        <f t="shared" si="17"/>
        <v>1.2768213309211029</v>
      </c>
      <c r="J70">
        <v>3.1808700005058199E-2</v>
      </c>
      <c r="K70">
        <v>36967.626247622</v>
      </c>
      <c r="L70" t="s">
        <v>44</v>
      </c>
      <c r="M70">
        <v>0</v>
      </c>
      <c r="N70">
        <v>80</v>
      </c>
      <c r="O70">
        <f t="shared" si="18"/>
        <v>0.95294117647058818</v>
      </c>
      <c r="P70">
        <v>46004.882325144601</v>
      </c>
      <c r="Q70">
        <f t="shared" si="19"/>
        <v>1.3973216217910343</v>
      </c>
      <c r="R70">
        <v>6.3612200028728694E-2</v>
      </c>
      <c r="S70">
        <v>2</v>
      </c>
      <c r="T70">
        <f t="shared" si="20"/>
        <v>3.5294117647058823E-2</v>
      </c>
      <c r="U70">
        <v>40368.916073869797</v>
      </c>
      <c r="V70">
        <f t="shared" si="21"/>
        <v>1.2261385406795211</v>
      </c>
      <c r="W70">
        <v>1.6636600019410201E-2</v>
      </c>
      <c r="X70" t="str">
        <f>IF(H70=MIN(H70,P70,U70),"Christofides",IF(P70=MIN(H70,P70,U70),"Arithmetic Series","Nearest Neighbor"))</f>
        <v>Nearest Neighbor</v>
      </c>
      <c r="Y70">
        <f t="shared" si="22"/>
        <v>40368.916073869797</v>
      </c>
      <c r="Z70">
        <f t="shared" si="23"/>
        <v>1.2261385406795211</v>
      </c>
      <c r="AA70">
        <v>3975</v>
      </c>
      <c r="AB70">
        <v>4119</v>
      </c>
      <c r="AC70">
        <f t="shared" si="24"/>
        <v>0.96504005826656958</v>
      </c>
      <c r="AD70">
        <v>0</v>
      </c>
      <c r="AE70">
        <v>40368.916073869797</v>
      </c>
      <c r="AF70">
        <v>36</v>
      </c>
      <c r="AG70">
        <f t="shared" si="25"/>
        <v>8.7399854333576107E-3</v>
      </c>
      <c r="AH70" s="1">
        <v>3.6379788070917097E-11</v>
      </c>
      <c r="AI70" s="4">
        <v>40368.916073869797</v>
      </c>
      <c r="AJ70" s="4">
        <v>36</v>
      </c>
      <c r="AK70" s="4">
        <f t="shared" si="26"/>
        <v>8.7399854333576107E-3</v>
      </c>
      <c r="AL70">
        <v>38825.828157153701</v>
      </c>
      <c r="AM70">
        <f t="shared" si="27"/>
        <v>1.1792698171576834</v>
      </c>
      <c r="AN70">
        <v>0.16247009998187401</v>
      </c>
      <c r="AO70">
        <v>8</v>
      </c>
      <c r="AP70">
        <f t="shared" si="28"/>
        <v>0.8</v>
      </c>
      <c r="AQ70">
        <v>39439.752426033097</v>
      </c>
      <c r="AR70">
        <f t="shared" si="29"/>
        <v>1.1979167435639826</v>
      </c>
      <c r="AS70">
        <v>1.12278450001031</v>
      </c>
      <c r="AT70">
        <v>0</v>
      </c>
      <c r="AU70">
        <f t="shared" si="30"/>
        <v>0</v>
      </c>
      <c r="AV70">
        <v>40368.916073869797</v>
      </c>
      <c r="AW70">
        <f t="shared" si="31"/>
        <v>1.2261385406795211</v>
      </c>
      <c r="AX70">
        <v>0.53378910000901603</v>
      </c>
      <c r="AY70" t="str">
        <f>IF(AL70=MIN(AL70,AQ70,AV70),"Simulated Annealing",IF(AQ70=MIN(AL70,AQ70,AV70),"Ant Colony Optimization","Genetic Algorithm"))</f>
        <v>Simulated Annealing</v>
      </c>
      <c r="AZ70">
        <f>MIN(AL70,AQ70,AV70)</f>
        <v>38825.828157153701</v>
      </c>
      <c r="BA70">
        <f>AZ70/F70</f>
        <v>1.1792698171576834</v>
      </c>
      <c r="BB70">
        <v>35654.936346863396</v>
      </c>
      <c r="BC70">
        <f>BB70/F70</f>
        <v>1.082959263517661</v>
      </c>
      <c r="BD70">
        <v>0.25600000000000001</v>
      </c>
      <c r="BE70">
        <v>5</v>
      </c>
      <c r="BF70">
        <v>5.0229999999999997</v>
      </c>
    </row>
    <row r="71" spans="1:58" x14ac:dyDescent="0.3">
      <c r="A71">
        <v>70</v>
      </c>
      <c r="B71">
        <v>95</v>
      </c>
      <c r="C71">
        <v>1.3755517956246801</v>
      </c>
      <c r="D71">
        <v>10.787072148984199</v>
      </c>
      <c r="E71">
        <f t="shared" si="16"/>
        <v>3.2843678461743897</v>
      </c>
      <c r="F71">
        <v>34643.035124323003</v>
      </c>
      <c r="G71">
        <v>8.6378899984992999E-2</v>
      </c>
      <c r="H71">
        <v>44103.691728399397</v>
      </c>
      <c r="I71">
        <f t="shared" si="17"/>
        <v>1.2730897154399163</v>
      </c>
      <c r="J71">
        <v>3.8319699990097399E-2</v>
      </c>
      <c r="K71">
        <v>47684.801705488098</v>
      </c>
      <c r="L71" t="s">
        <v>44</v>
      </c>
      <c r="M71">
        <v>0</v>
      </c>
      <c r="N71">
        <v>58</v>
      </c>
      <c r="O71">
        <f t="shared" si="18"/>
        <v>0.62105263157894741</v>
      </c>
      <c r="P71">
        <v>45827.574923479697</v>
      </c>
      <c r="Q71">
        <f t="shared" si="19"/>
        <v>1.3228510365508934</v>
      </c>
      <c r="R71">
        <v>8.6378899984992999E-2</v>
      </c>
      <c r="S71">
        <v>21</v>
      </c>
      <c r="T71">
        <f t="shared" si="20"/>
        <v>0.23157894736842105</v>
      </c>
      <c r="U71">
        <v>42089.094793038603</v>
      </c>
      <c r="V71">
        <f t="shared" si="21"/>
        <v>1.2149367006093439</v>
      </c>
      <c r="W71">
        <v>2.43798000155948E-2</v>
      </c>
      <c r="X71" t="str">
        <f>IF(H71=MIN(H71,P71,U71),"Christofides",IF(P71=MIN(H71,P71,U71),"Arithmetic Series","Nearest Neighbor"))</f>
        <v>Nearest Neighbor</v>
      </c>
      <c r="Y71">
        <f t="shared" si="22"/>
        <v>42089.094793038603</v>
      </c>
      <c r="Z71">
        <f t="shared" si="23"/>
        <v>1.2149367006093439</v>
      </c>
      <c r="AA71">
        <v>3571</v>
      </c>
      <c r="AB71">
        <v>4130</v>
      </c>
      <c r="AC71">
        <f t="shared" si="24"/>
        <v>0.86464891041162228</v>
      </c>
      <c r="AD71">
        <v>0</v>
      </c>
      <c r="AE71">
        <v>42089.094793038603</v>
      </c>
      <c r="AF71">
        <v>1</v>
      </c>
      <c r="AG71">
        <f t="shared" si="25"/>
        <v>2.4213075060532688E-4</v>
      </c>
      <c r="AH71" s="1">
        <v>2.18278728425502E-11</v>
      </c>
      <c r="AI71" s="4">
        <v>40523.744533823599</v>
      </c>
      <c r="AJ71" s="4">
        <v>677</v>
      </c>
      <c r="AK71" s="4">
        <f t="shared" si="26"/>
        <v>0.1639225181598063</v>
      </c>
      <c r="AL71">
        <v>39921.4381047235</v>
      </c>
      <c r="AM71">
        <f t="shared" si="27"/>
        <v>1.1523654888048336</v>
      </c>
      <c r="AN71">
        <v>0.167382200015708</v>
      </c>
      <c r="AO71">
        <v>3</v>
      </c>
      <c r="AP71">
        <f t="shared" si="28"/>
        <v>0.3</v>
      </c>
      <c r="AQ71">
        <v>40268.559674353601</v>
      </c>
      <c r="AR71">
        <f t="shared" si="29"/>
        <v>1.1623854413980286</v>
      </c>
      <c r="AS71">
        <v>1.4134501999942499</v>
      </c>
      <c r="AT71">
        <v>11</v>
      </c>
      <c r="AU71">
        <f t="shared" si="30"/>
        <v>0.11</v>
      </c>
      <c r="AV71">
        <v>42054.315727136098</v>
      </c>
      <c r="AW71">
        <f t="shared" si="31"/>
        <v>1.2139327739678794</v>
      </c>
      <c r="AX71">
        <v>0.65944409999065101</v>
      </c>
      <c r="AY71" t="str">
        <f>IF(AL71=MIN(AL71,AQ71,AV71),"Simulated Annealing",IF(AQ71=MIN(AL71,AQ71,AV71),"Ant Colony Optimization","Genetic Algorithm"))</f>
        <v>Simulated Annealing</v>
      </c>
      <c r="AZ71">
        <f>MIN(AL71,AQ71,AV71)</f>
        <v>39921.4381047235</v>
      </c>
      <c r="BA71">
        <f>AZ71/F71</f>
        <v>1.1523654888048336</v>
      </c>
      <c r="BB71">
        <v>37996.210637879303</v>
      </c>
      <c r="BC71">
        <f>BB71/F71</f>
        <v>1.0967921979561781</v>
      </c>
      <c r="BD71">
        <v>0.223</v>
      </c>
      <c r="BE71">
        <v>5</v>
      </c>
      <c r="BF71">
        <v>5</v>
      </c>
    </row>
    <row r="72" spans="1:58" x14ac:dyDescent="0.3">
      <c r="A72">
        <v>71</v>
      </c>
      <c r="B72">
        <v>105</v>
      </c>
      <c r="C72">
        <v>1.20936773878383</v>
      </c>
      <c r="D72">
        <v>23.5953917255679</v>
      </c>
      <c r="E72">
        <f t="shared" si="16"/>
        <v>4.8575087983006169</v>
      </c>
      <c r="F72">
        <v>35559.263470906102</v>
      </c>
      <c r="G72">
        <v>0.11330830003134899</v>
      </c>
      <c r="H72">
        <v>46152.301603381602</v>
      </c>
      <c r="I72">
        <f t="shared" si="17"/>
        <v>1.2978981311337485</v>
      </c>
      <c r="J72">
        <v>4.8010499973315697E-2</v>
      </c>
      <c r="K72">
        <v>59895.747767529203</v>
      </c>
      <c r="L72" t="s">
        <v>44</v>
      </c>
      <c r="M72">
        <v>1</v>
      </c>
      <c r="N72">
        <v>16</v>
      </c>
      <c r="O72">
        <f t="shared" si="18"/>
        <v>0.16190476190476191</v>
      </c>
      <c r="P72">
        <v>47636.2235481268</v>
      </c>
      <c r="Q72">
        <f t="shared" si="19"/>
        <v>1.3396290839123211</v>
      </c>
      <c r="R72">
        <v>0.11330830003134899</v>
      </c>
      <c r="S72">
        <v>82</v>
      </c>
      <c r="T72">
        <f t="shared" si="20"/>
        <v>0.79047619047619044</v>
      </c>
      <c r="U72">
        <v>43187.781464495099</v>
      </c>
      <c r="V72">
        <f t="shared" si="21"/>
        <v>1.2145296963147312</v>
      </c>
      <c r="W72">
        <v>3.3349500037729699E-2</v>
      </c>
      <c r="X72" t="str">
        <f>IF(H72=MIN(H72,P72,U72),"Christofides",IF(P72=MIN(H72,P72,U72),"Arithmetic Series","Nearest Neighbor"))</f>
        <v>Nearest Neighbor</v>
      </c>
      <c r="Y72">
        <f t="shared" si="22"/>
        <v>43187.781464495099</v>
      </c>
      <c r="Z72">
        <f t="shared" si="23"/>
        <v>1.2145296963147312</v>
      </c>
      <c r="AA72">
        <v>2936</v>
      </c>
      <c r="AB72">
        <v>4140</v>
      </c>
      <c r="AC72">
        <f t="shared" si="24"/>
        <v>0.70917874396135261</v>
      </c>
      <c r="AD72">
        <v>0</v>
      </c>
      <c r="AE72">
        <v>42961.885253210799</v>
      </c>
      <c r="AF72">
        <v>525</v>
      </c>
      <c r="AG72">
        <f t="shared" si="25"/>
        <v>0.12681159420289856</v>
      </c>
      <c r="AH72" s="1">
        <v>3.6379788070917097E-11</v>
      </c>
      <c r="AI72" s="4">
        <v>42720.825677425397</v>
      </c>
      <c r="AJ72" s="4">
        <v>2001</v>
      </c>
      <c r="AK72" s="4">
        <f t="shared" si="26"/>
        <v>0.48333333333333334</v>
      </c>
      <c r="AL72">
        <v>42503.634633827001</v>
      </c>
      <c r="AM72">
        <f t="shared" si="27"/>
        <v>1.1952900731085909</v>
      </c>
      <c r="AN72">
        <v>0.18189810001058501</v>
      </c>
      <c r="AO72">
        <v>9</v>
      </c>
      <c r="AP72">
        <f t="shared" si="28"/>
        <v>0.9</v>
      </c>
      <c r="AQ72">
        <v>41614.034646974098</v>
      </c>
      <c r="AR72">
        <f t="shared" si="29"/>
        <v>1.1702726824199239</v>
      </c>
      <c r="AS72">
        <v>1.7652267999947</v>
      </c>
      <c r="AT72">
        <v>0</v>
      </c>
      <c r="AU72">
        <f t="shared" si="30"/>
        <v>0</v>
      </c>
      <c r="AV72">
        <v>43187.781464495099</v>
      </c>
      <c r="AW72">
        <f t="shared" si="31"/>
        <v>1.2145296963147312</v>
      </c>
      <c r="AX72">
        <v>0.89680970000335902</v>
      </c>
      <c r="AY72" t="str">
        <f>IF(AL72=MIN(AL72,AQ72,AV72),"Simulated Annealing",IF(AQ72=MIN(AL72,AQ72,AV72),"Ant Colony Optimization","Genetic Algorithm"))</f>
        <v>Ant Colony Optimization</v>
      </c>
      <c r="AZ72">
        <f>MIN(AL72,AQ72,AV72)</f>
        <v>41614.034646974098</v>
      </c>
      <c r="BA72">
        <f>AZ72/F72</f>
        <v>1.1702726824199239</v>
      </c>
      <c r="BB72">
        <v>39082.649836310702</v>
      </c>
      <c r="BC72">
        <f>BB72/F72</f>
        <v>1.0990849084455128</v>
      </c>
      <c r="BD72">
        <v>0.159</v>
      </c>
      <c r="BE72">
        <v>5</v>
      </c>
      <c r="BF72">
        <v>5.0190000000000001</v>
      </c>
    </row>
    <row r="73" spans="1:58" x14ac:dyDescent="0.3">
      <c r="A73">
        <v>72</v>
      </c>
      <c r="B73">
        <v>115</v>
      </c>
      <c r="C73">
        <v>0.97099278914637599</v>
      </c>
      <c r="D73">
        <v>14.399360831642801</v>
      </c>
      <c r="E73">
        <f t="shared" si="16"/>
        <v>3.7946489734417859</v>
      </c>
      <c r="F73">
        <v>38303.437437563</v>
      </c>
      <c r="G73">
        <v>0.146143899997696</v>
      </c>
      <c r="H73">
        <v>49301.308257320103</v>
      </c>
      <c r="I73">
        <f t="shared" si="17"/>
        <v>1.2871249045907256</v>
      </c>
      <c r="J73">
        <v>5.8553199982270598E-2</v>
      </c>
      <c r="K73">
        <v>73633.225621499994</v>
      </c>
      <c r="L73" t="s">
        <v>44</v>
      </c>
      <c r="M73">
        <v>1</v>
      </c>
      <c r="N73">
        <v>72</v>
      </c>
      <c r="O73">
        <f t="shared" si="18"/>
        <v>0.63478260869565217</v>
      </c>
      <c r="P73">
        <v>51922.088571266599</v>
      </c>
      <c r="Q73">
        <f t="shared" si="19"/>
        <v>1.3555464481719912</v>
      </c>
      <c r="R73">
        <v>0.146143899997696</v>
      </c>
      <c r="S73">
        <v>15</v>
      </c>
      <c r="T73">
        <f t="shared" si="20"/>
        <v>0.1391304347826087</v>
      </c>
      <c r="U73">
        <v>46014.160980768203</v>
      </c>
      <c r="V73">
        <f t="shared" si="21"/>
        <v>1.2013063071891177</v>
      </c>
      <c r="W73">
        <v>4.1596199967898401E-2</v>
      </c>
      <c r="X73" t="str">
        <f>IF(H73=MIN(H73,P73,U73),"Christofides",IF(P73=MIN(H73,P73,U73),"Arithmetic Series","Nearest Neighbor"))</f>
        <v>Nearest Neighbor</v>
      </c>
      <c r="Y73">
        <f t="shared" si="22"/>
        <v>46014.160980768203</v>
      </c>
      <c r="Z73">
        <f t="shared" si="23"/>
        <v>1.2013063071891177</v>
      </c>
      <c r="AA73">
        <v>4127</v>
      </c>
      <c r="AB73">
        <v>4149</v>
      </c>
      <c r="AC73">
        <f t="shared" si="24"/>
        <v>0.99469751747409019</v>
      </c>
      <c r="AD73">
        <v>0</v>
      </c>
      <c r="AE73">
        <v>46014.160980768203</v>
      </c>
      <c r="AF73">
        <v>145</v>
      </c>
      <c r="AG73">
        <f t="shared" si="25"/>
        <v>3.4948180284405883E-2</v>
      </c>
      <c r="AH73" s="1">
        <v>2.91038304567337E-11</v>
      </c>
      <c r="AI73" s="4">
        <v>45939.277735685202</v>
      </c>
      <c r="AJ73" s="4">
        <v>628</v>
      </c>
      <c r="AK73" s="4">
        <f t="shared" si="26"/>
        <v>0.15136177392142686</v>
      </c>
      <c r="AL73">
        <v>45667.222619342603</v>
      </c>
      <c r="AM73">
        <f t="shared" si="27"/>
        <v>1.1922486772573098</v>
      </c>
      <c r="AN73">
        <v>0.21094269998138701</v>
      </c>
      <c r="AO73">
        <v>10</v>
      </c>
      <c r="AP73">
        <f t="shared" si="28"/>
        <v>1</v>
      </c>
      <c r="AQ73">
        <v>45233.107581338299</v>
      </c>
      <c r="AR73">
        <f t="shared" si="29"/>
        <v>1.180915098157211</v>
      </c>
      <c r="AS73">
        <v>2.1057138000032798</v>
      </c>
      <c r="AT73">
        <v>60</v>
      </c>
      <c r="AU73">
        <f t="shared" si="30"/>
        <v>0.6</v>
      </c>
      <c r="AV73">
        <v>45940.603925353797</v>
      </c>
      <c r="AW73">
        <f t="shared" si="31"/>
        <v>1.1993859297938954</v>
      </c>
      <c r="AX73">
        <v>1.09477590001188</v>
      </c>
      <c r="AY73" t="str">
        <f>IF(AL73=MIN(AL73,AQ73,AV73),"Simulated Annealing",IF(AQ73=MIN(AL73,AQ73,AV73),"Ant Colony Optimization","Genetic Algorithm"))</f>
        <v>Ant Colony Optimization</v>
      </c>
      <c r="AZ73">
        <f>MIN(AL73,AQ73,AV73)</f>
        <v>45233.107581338299</v>
      </c>
      <c r="BA73">
        <f>AZ73/F73</f>
        <v>1.180915098157211</v>
      </c>
      <c r="BB73">
        <v>42723.393692854603</v>
      </c>
      <c r="BC73">
        <f>BB73/F73</f>
        <v>1.1153932010017746</v>
      </c>
      <c r="BD73">
        <v>0.14399999999999999</v>
      </c>
      <c r="BE73">
        <v>5</v>
      </c>
      <c r="BF73">
        <v>5.0209999999999999</v>
      </c>
    </row>
    <row r="74" spans="1:58" x14ac:dyDescent="0.3">
      <c r="A74">
        <v>73</v>
      </c>
      <c r="B74">
        <v>125</v>
      </c>
      <c r="C74">
        <v>0.80554042065543496</v>
      </c>
      <c r="D74">
        <v>6.2037837618961298</v>
      </c>
      <c r="E74">
        <f t="shared" si="16"/>
        <v>2.4907396013827157</v>
      </c>
      <c r="F74">
        <v>37708.256071949101</v>
      </c>
      <c r="G74">
        <v>0.190834300010465</v>
      </c>
      <c r="H74">
        <v>47577.621608188201</v>
      </c>
      <c r="I74">
        <f t="shared" si="17"/>
        <v>1.2617295670584154</v>
      </c>
      <c r="J74">
        <v>7.0011100033298093E-2</v>
      </c>
      <c r="K74">
        <v>88936.370130105002</v>
      </c>
      <c r="L74" t="s">
        <v>44</v>
      </c>
      <c r="M74">
        <v>0</v>
      </c>
      <c r="N74">
        <v>77</v>
      </c>
      <c r="O74">
        <f t="shared" si="18"/>
        <v>0.624</v>
      </c>
      <c r="P74">
        <v>52870.143731172502</v>
      </c>
      <c r="Q74">
        <f t="shared" si="19"/>
        <v>1.4020840324806805</v>
      </c>
      <c r="R74">
        <v>0.190834300010465</v>
      </c>
      <c r="S74">
        <v>30</v>
      </c>
      <c r="T74">
        <f t="shared" si="20"/>
        <v>0.248</v>
      </c>
      <c r="U74">
        <v>45827.633199622003</v>
      </c>
      <c r="V74">
        <f t="shared" si="21"/>
        <v>1.2153209395889524</v>
      </c>
      <c r="W74">
        <v>5.4283000004943398E-2</v>
      </c>
      <c r="X74" t="str">
        <f>IF(H74=MIN(H74,P74,U74),"Christofides",IF(P74=MIN(H74,P74,U74),"Arithmetic Series","Nearest Neighbor"))</f>
        <v>Nearest Neighbor</v>
      </c>
      <c r="Y74">
        <f t="shared" si="22"/>
        <v>45827.633199622003</v>
      </c>
      <c r="Z74">
        <f t="shared" si="23"/>
        <v>1.2153209395889524</v>
      </c>
      <c r="AA74">
        <v>3875</v>
      </c>
      <c r="AB74">
        <v>4157</v>
      </c>
      <c r="AC74">
        <f t="shared" si="24"/>
        <v>0.93216261727207117</v>
      </c>
      <c r="AD74">
        <v>0</v>
      </c>
      <c r="AE74">
        <v>45827.633199622003</v>
      </c>
      <c r="AF74">
        <v>153</v>
      </c>
      <c r="AG74">
        <f t="shared" si="25"/>
        <v>3.6805388501323068E-2</v>
      </c>
      <c r="AH74" s="1">
        <v>4.3655745685100497E-11</v>
      </c>
      <c r="AI74" s="4">
        <v>45333.6908544209</v>
      </c>
      <c r="AJ74" s="4">
        <v>1708</v>
      </c>
      <c r="AK74" s="4">
        <f t="shared" si="26"/>
        <v>0.41087322588405101</v>
      </c>
      <c r="AL74">
        <v>45259.813513860703</v>
      </c>
      <c r="AM74">
        <f t="shared" si="27"/>
        <v>1.2002627071244791</v>
      </c>
      <c r="AN74">
        <v>0.23380719998385699</v>
      </c>
      <c r="AO74">
        <v>9</v>
      </c>
      <c r="AP74">
        <f t="shared" si="28"/>
        <v>0.9</v>
      </c>
      <c r="AQ74">
        <v>45204.069297198497</v>
      </c>
      <c r="AR74">
        <f t="shared" si="29"/>
        <v>1.1987844044271641</v>
      </c>
      <c r="AS74">
        <v>2.5994569999747901</v>
      </c>
      <c r="AT74">
        <v>93</v>
      </c>
      <c r="AU74">
        <f t="shared" si="30"/>
        <v>0.93</v>
      </c>
      <c r="AV74">
        <v>45739.194731363597</v>
      </c>
      <c r="AW74">
        <f t="shared" si="31"/>
        <v>1.2129756052385741</v>
      </c>
      <c r="AX74">
        <v>1.3356638000113801</v>
      </c>
      <c r="AY74" t="str">
        <f>IF(AL74=MIN(AL74,AQ74,AV74),"Simulated Annealing",IF(AQ74=MIN(AL74,AQ74,AV74),"Ant Colony Optimization","Genetic Algorithm"))</f>
        <v>Ant Colony Optimization</v>
      </c>
      <c r="AZ74">
        <f>MIN(AL74,AQ74,AV74)</f>
        <v>45204.069297198497</v>
      </c>
      <c r="BA74">
        <f>AZ74/F74</f>
        <v>1.1987844044271641</v>
      </c>
      <c r="BB74">
        <v>42028.735534656902</v>
      </c>
      <c r="BC74">
        <f>BB74/F74</f>
        <v>1.114576485702869</v>
      </c>
      <c r="BD74">
        <v>0.128</v>
      </c>
      <c r="BE74">
        <v>5</v>
      </c>
      <c r="BF74">
        <v>5</v>
      </c>
    </row>
    <row r="75" spans="1:58" x14ac:dyDescent="0.3">
      <c r="A75">
        <v>74</v>
      </c>
      <c r="B75">
        <v>135</v>
      </c>
      <c r="C75">
        <v>0.69946616329589295</v>
      </c>
      <c r="D75">
        <v>16.2899572738404</v>
      </c>
      <c r="E75">
        <f t="shared" si="16"/>
        <v>4.0360819211012551</v>
      </c>
      <c r="F75">
        <v>40065.615396125897</v>
      </c>
      <c r="G75">
        <v>0.22539149998919999</v>
      </c>
      <c r="H75">
        <v>53784.624582713703</v>
      </c>
      <c r="I75">
        <f t="shared" si="17"/>
        <v>1.3424135396635977</v>
      </c>
      <c r="J75">
        <v>7.9698299989104202E-2</v>
      </c>
      <c r="K75">
        <v>105815.986130962</v>
      </c>
      <c r="L75" t="s">
        <v>44</v>
      </c>
      <c r="M75" t="s">
        <v>37</v>
      </c>
      <c r="N75">
        <v>33</v>
      </c>
      <c r="O75">
        <f t="shared" si="18"/>
        <v>0.25185185185185183</v>
      </c>
      <c r="P75">
        <v>52519.408826835002</v>
      </c>
      <c r="Q75">
        <f t="shared" si="19"/>
        <v>1.310834946813604</v>
      </c>
      <c r="R75">
        <v>0.22539149998919999</v>
      </c>
      <c r="S75">
        <v>106</v>
      </c>
      <c r="T75">
        <f t="shared" si="20"/>
        <v>0.79259259259259263</v>
      </c>
      <c r="U75">
        <v>51790.068192823899</v>
      </c>
      <c r="V75">
        <f t="shared" si="21"/>
        <v>1.292631291963924</v>
      </c>
      <c r="W75">
        <v>6.3619699969422003E-2</v>
      </c>
      <c r="X75" t="str">
        <f>IF(H75=MIN(H75,P75,U75),"Christofides",IF(P75=MIN(H75,P75,U75),"Arithmetic Series","Nearest Neighbor"))</f>
        <v>Nearest Neighbor</v>
      </c>
      <c r="Y75">
        <f t="shared" si="22"/>
        <v>51790.068192823899</v>
      </c>
      <c r="Z75">
        <f t="shared" si="23"/>
        <v>1.292631291963924</v>
      </c>
      <c r="AA75">
        <v>4076</v>
      </c>
      <c r="AB75">
        <v>4165</v>
      </c>
      <c r="AC75">
        <f t="shared" si="24"/>
        <v>0.97863145258103246</v>
      </c>
      <c r="AD75">
        <v>0</v>
      </c>
      <c r="AE75">
        <v>51401.968909727701</v>
      </c>
      <c r="AF75">
        <v>479</v>
      </c>
      <c r="AG75">
        <f t="shared" si="25"/>
        <v>0.11500600240096039</v>
      </c>
      <c r="AH75" s="1">
        <v>1.45519152283668E-11</v>
      </c>
      <c r="AI75" s="4">
        <v>51401.968909727701</v>
      </c>
      <c r="AJ75" s="4">
        <v>587</v>
      </c>
      <c r="AK75" s="4">
        <f t="shared" si="26"/>
        <v>0.14093637454981991</v>
      </c>
      <c r="AL75">
        <v>50412.978661906302</v>
      </c>
      <c r="AM75">
        <f t="shared" si="27"/>
        <v>1.2582604351256497</v>
      </c>
      <c r="AN75">
        <v>0.23220919998129799</v>
      </c>
      <c r="AO75">
        <v>0</v>
      </c>
      <c r="AP75">
        <f t="shared" si="28"/>
        <v>0</v>
      </c>
      <c r="AQ75">
        <v>51790.068192823899</v>
      </c>
      <c r="AR75">
        <f t="shared" si="29"/>
        <v>1.292631291963924</v>
      </c>
      <c r="AS75">
        <v>3.1528534999815698</v>
      </c>
      <c r="AT75">
        <v>0</v>
      </c>
      <c r="AU75">
        <f t="shared" si="30"/>
        <v>0</v>
      </c>
      <c r="AV75">
        <v>51790.068192823899</v>
      </c>
      <c r="AW75">
        <f t="shared" si="31"/>
        <v>1.292631291963924</v>
      </c>
      <c r="AX75">
        <v>1.7190364999696599</v>
      </c>
      <c r="AY75" t="str">
        <f>IF(AL75=MIN(AL75,AQ75,AV75),"Simulated Annealing",IF(AQ75=MIN(AL75,AQ75,AV75),"Ant Colony Optimization","Genetic Algorithm"))</f>
        <v>Simulated Annealing</v>
      </c>
      <c r="AZ75">
        <f>MIN(AL75,AQ75,AV75)</f>
        <v>50412.978661906302</v>
      </c>
      <c r="BA75">
        <f>AZ75/F75</f>
        <v>1.2582604351256497</v>
      </c>
      <c r="BB75">
        <v>45675.986676772802</v>
      </c>
      <c r="BC75">
        <f>BB75/F75</f>
        <v>1.1400295796077899</v>
      </c>
      <c r="BD75">
        <v>0.112</v>
      </c>
      <c r="BE75">
        <v>5</v>
      </c>
      <c r="BF75">
        <v>5</v>
      </c>
    </row>
    <row r="76" spans="1:58" x14ac:dyDescent="0.3">
      <c r="A76">
        <v>75</v>
      </c>
      <c r="B76">
        <v>145</v>
      </c>
      <c r="C76">
        <v>0.59174670053269496</v>
      </c>
      <c r="D76">
        <v>2.6163115555481</v>
      </c>
      <c r="E76">
        <f t="shared" si="16"/>
        <v>1.6175016400449491</v>
      </c>
      <c r="F76">
        <v>40675.898652637901</v>
      </c>
      <c r="G76">
        <v>0.30265370005508802</v>
      </c>
      <c r="H76">
        <v>53114.708603471998</v>
      </c>
      <c r="I76">
        <f t="shared" si="17"/>
        <v>1.305802953662031</v>
      </c>
      <c r="J76">
        <v>9.5077999983914196E-2</v>
      </c>
      <c r="K76">
        <v>124299.90440021</v>
      </c>
      <c r="L76" t="s">
        <v>44</v>
      </c>
      <c r="M76">
        <v>0</v>
      </c>
      <c r="N76">
        <v>30</v>
      </c>
      <c r="O76">
        <f t="shared" si="18"/>
        <v>0.21379310344827587</v>
      </c>
      <c r="P76">
        <v>54458.848524445697</v>
      </c>
      <c r="Q76">
        <f t="shared" si="19"/>
        <v>1.3388480728971908</v>
      </c>
      <c r="R76">
        <v>0.30265370005508802</v>
      </c>
      <c r="S76">
        <v>84</v>
      </c>
      <c r="T76">
        <f t="shared" si="20"/>
        <v>0.58620689655172409</v>
      </c>
      <c r="U76">
        <v>50718.379518763897</v>
      </c>
      <c r="V76">
        <f t="shared" si="21"/>
        <v>1.2468902027681379</v>
      </c>
      <c r="W76">
        <v>7.9975100001320201E-2</v>
      </c>
      <c r="X76" t="str">
        <f>IF(H76=MIN(H76,P76,U76),"Christofides",IF(P76=MIN(H76,P76,U76),"Arithmetic Series","Nearest Neighbor"))</f>
        <v>Nearest Neighbor</v>
      </c>
      <c r="Y76">
        <f t="shared" si="22"/>
        <v>50718.379518763897</v>
      </c>
      <c r="Z76">
        <f t="shared" si="23"/>
        <v>1.2468902027681379</v>
      </c>
      <c r="AA76">
        <v>3078</v>
      </c>
      <c r="AB76">
        <v>4172</v>
      </c>
      <c r="AC76">
        <f t="shared" si="24"/>
        <v>0.73777564717162036</v>
      </c>
      <c r="AD76">
        <v>0</v>
      </c>
      <c r="AE76">
        <v>50718.379518763897</v>
      </c>
      <c r="AF76">
        <v>370</v>
      </c>
      <c r="AG76">
        <f t="shared" si="25"/>
        <v>8.8686481303930975E-2</v>
      </c>
      <c r="AH76" s="1">
        <v>2.18278728425502E-11</v>
      </c>
      <c r="AI76" s="4">
        <v>50299.1750992952</v>
      </c>
      <c r="AJ76" s="4">
        <v>1359</v>
      </c>
      <c r="AK76" s="4">
        <f t="shared" si="26"/>
        <v>0.32574304889741129</v>
      </c>
      <c r="AL76">
        <v>49385.946571670902</v>
      </c>
      <c r="AM76">
        <f t="shared" si="27"/>
        <v>1.2141328946021488</v>
      </c>
      <c r="AN76">
        <v>0.25335999997332598</v>
      </c>
      <c r="AO76">
        <v>7</v>
      </c>
      <c r="AP76">
        <f t="shared" si="28"/>
        <v>0.7</v>
      </c>
      <c r="AQ76">
        <v>47982.530063782098</v>
      </c>
      <c r="AR76">
        <f t="shared" si="29"/>
        <v>1.1796304852055273</v>
      </c>
      <c r="AS76">
        <v>3.61989079997874</v>
      </c>
      <c r="AT76">
        <v>91</v>
      </c>
      <c r="AU76">
        <f t="shared" si="30"/>
        <v>0.91</v>
      </c>
      <c r="AV76">
        <v>50661.7764753433</v>
      </c>
      <c r="AW76">
        <f t="shared" si="31"/>
        <v>1.245498640558192</v>
      </c>
      <c r="AX76">
        <v>2.0205875000101501</v>
      </c>
      <c r="AY76" t="str">
        <f>IF(AL76=MIN(AL76,AQ76,AV76),"Simulated Annealing",IF(AQ76=MIN(AL76,AQ76,AV76),"Ant Colony Optimization","Genetic Algorithm"))</f>
        <v>Ant Colony Optimization</v>
      </c>
      <c r="AZ76">
        <f>MIN(AL76,AQ76,AV76)</f>
        <v>47982.530063782098</v>
      </c>
      <c r="BA76">
        <f>AZ76/F76</f>
        <v>1.1796304852055273</v>
      </c>
      <c r="BB76">
        <v>46539.380391967497</v>
      </c>
      <c r="BC76">
        <f>BB76/F76</f>
        <v>1.1441512525488933</v>
      </c>
      <c r="BD76">
        <v>0.112</v>
      </c>
      <c r="BE76">
        <v>5</v>
      </c>
      <c r="BF76">
        <v>5.0460000000000003</v>
      </c>
    </row>
    <row r="77" spans="1:58" x14ac:dyDescent="0.3">
      <c r="A77">
        <v>76</v>
      </c>
      <c r="B77">
        <v>155</v>
      </c>
      <c r="C77">
        <v>0.54313895563965497</v>
      </c>
      <c r="D77">
        <v>4.8506451681629299</v>
      </c>
      <c r="E77">
        <f t="shared" si="16"/>
        <v>2.2024180275694554</v>
      </c>
      <c r="F77">
        <v>42820.0563528891</v>
      </c>
      <c r="G77">
        <v>0.35167619999265298</v>
      </c>
      <c r="H77">
        <v>55451.5130005709</v>
      </c>
      <c r="I77">
        <f t="shared" si="17"/>
        <v>1.2949892579211786</v>
      </c>
      <c r="J77">
        <v>0.115842400002293</v>
      </c>
      <c r="K77">
        <v>144402.971384387</v>
      </c>
      <c r="L77" t="s">
        <v>44</v>
      </c>
      <c r="M77">
        <v>0</v>
      </c>
      <c r="N77">
        <v>17</v>
      </c>
      <c r="O77">
        <f t="shared" si="18"/>
        <v>0.11612903225806452</v>
      </c>
      <c r="P77">
        <v>59036.184195154798</v>
      </c>
      <c r="Q77">
        <f t="shared" si="19"/>
        <v>1.3787040285193737</v>
      </c>
      <c r="R77">
        <v>0.35167619999265298</v>
      </c>
      <c r="S77">
        <v>117</v>
      </c>
      <c r="T77">
        <f t="shared" si="20"/>
        <v>0.76129032258064511</v>
      </c>
      <c r="U77">
        <v>55001.8630407526</v>
      </c>
      <c r="V77">
        <f t="shared" si="21"/>
        <v>1.2844883385362846</v>
      </c>
      <c r="W77">
        <v>9.6793900011107298E-2</v>
      </c>
      <c r="X77" t="str">
        <f>IF(H77=MIN(H77,P77,U77),"Christofides",IF(P77=MIN(H77,P77,U77),"Arithmetic Series","Nearest Neighbor"))</f>
        <v>Nearest Neighbor</v>
      </c>
      <c r="Y77">
        <f t="shared" si="22"/>
        <v>55001.8630407526</v>
      </c>
      <c r="Z77">
        <f t="shared" si="23"/>
        <v>1.2844883385362846</v>
      </c>
      <c r="AA77">
        <v>3128</v>
      </c>
      <c r="AB77">
        <v>4178</v>
      </c>
      <c r="AC77">
        <f t="shared" si="24"/>
        <v>0.74868358066060314</v>
      </c>
      <c r="AD77">
        <v>0</v>
      </c>
      <c r="AE77">
        <v>54279.493314276697</v>
      </c>
      <c r="AF77">
        <v>311</v>
      </c>
      <c r="AG77">
        <f t="shared" si="25"/>
        <v>7.4437529918621348E-2</v>
      </c>
      <c r="AH77" s="1">
        <v>4.3655745685100497E-11</v>
      </c>
      <c r="AI77" s="4">
        <v>52949.637944226699</v>
      </c>
      <c r="AJ77" s="4">
        <v>2390</v>
      </c>
      <c r="AK77" s="4">
        <f t="shared" si="26"/>
        <v>0.57204404021062705</v>
      </c>
      <c r="AL77">
        <v>52494.731529076998</v>
      </c>
      <c r="AM77">
        <f t="shared" si="27"/>
        <v>1.2259379365701171</v>
      </c>
      <c r="AN77">
        <v>0.26608219998888599</v>
      </c>
      <c r="AO77">
        <v>7</v>
      </c>
      <c r="AP77">
        <f t="shared" si="28"/>
        <v>0.7</v>
      </c>
      <c r="AQ77">
        <v>54229.225129897597</v>
      </c>
      <c r="AR77">
        <f t="shared" si="29"/>
        <v>1.266444506354292</v>
      </c>
      <c r="AS77">
        <v>4.2074967999942601</v>
      </c>
      <c r="AT77">
        <v>49</v>
      </c>
      <c r="AU77">
        <f t="shared" si="30"/>
        <v>0.49</v>
      </c>
      <c r="AV77">
        <v>54929.346107386198</v>
      </c>
      <c r="AW77">
        <f t="shared" si="31"/>
        <v>1.2827948112609169</v>
      </c>
      <c r="AX77">
        <v>2.4669226999976601</v>
      </c>
      <c r="AY77" t="str">
        <f>IF(AL77=MIN(AL77,AQ77,AV77),"Simulated Annealing",IF(AQ77=MIN(AL77,AQ77,AV77),"Ant Colony Optimization","Genetic Algorithm"))</f>
        <v>Simulated Annealing</v>
      </c>
      <c r="AZ77">
        <f>MIN(AL77,AQ77,AV77)</f>
        <v>52494.731529076998</v>
      </c>
      <c r="BA77">
        <f>AZ77/F77</f>
        <v>1.2259379365701171</v>
      </c>
      <c r="BB77">
        <v>48167.253226905901</v>
      </c>
      <c r="BC77">
        <f>BB77/F77</f>
        <v>1.12487598871775</v>
      </c>
      <c r="BD77">
        <v>0.112</v>
      </c>
      <c r="BE77">
        <v>5</v>
      </c>
      <c r="BF77">
        <v>5</v>
      </c>
    </row>
    <row r="78" spans="1:58" x14ac:dyDescent="0.3">
      <c r="A78">
        <v>77</v>
      </c>
      <c r="B78">
        <v>165</v>
      </c>
      <c r="C78">
        <v>0.47036747596106099</v>
      </c>
      <c r="D78">
        <v>4.3514990559055597</v>
      </c>
      <c r="E78">
        <f t="shared" si="16"/>
        <v>2.0860247016527778</v>
      </c>
      <c r="F78">
        <v>42748.314440249902</v>
      </c>
      <c r="G78">
        <v>0.43493940000189402</v>
      </c>
      <c r="H78">
        <v>54631.9486053617</v>
      </c>
      <c r="I78">
        <f t="shared" si="17"/>
        <v>1.2779907072528385</v>
      </c>
      <c r="J78">
        <v>0.126775300013832</v>
      </c>
      <c r="K78">
        <v>166137.20358926599</v>
      </c>
      <c r="L78" t="s">
        <v>44</v>
      </c>
      <c r="M78">
        <v>1</v>
      </c>
      <c r="N78">
        <v>100</v>
      </c>
      <c r="O78">
        <f t="shared" si="18"/>
        <v>0.61212121212121207</v>
      </c>
      <c r="P78">
        <v>61296.204237854901</v>
      </c>
      <c r="Q78">
        <f t="shared" si="19"/>
        <v>1.433885874577107</v>
      </c>
      <c r="R78">
        <v>0.43493940000189402</v>
      </c>
      <c r="S78">
        <v>90</v>
      </c>
      <c r="T78">
        <f t="shared" si="20"/>
        <v>0.55151515151515151</v>
      </c>
      <c r="U78">
        <v>56901.685793215198</v>
      </c>
      <c r="V78">
        <f t="shared" si="21"/>
        <v>1.3310860682646966</v>
      </c>
      <c r="W78">
        <v>0.122707500006072</v>
      </c>
      <c r="X78" t="str">
        <f>IF(H78=MIN(H78,P78,U78),"Christofides",IF(P78=MIN(H78,P78,U78),"Arithmetic Series","Nearest Neighbor"))</f>
        <v>Christofides</v>
      </c>
      <c r="Y78">
        <f t="shared" si="22"/>
        <v>54631.9486053617</v>
      </c>
      <c r="Z78">
        <f t="shared" si="23"/>
        <v>1.2779907072528385</v>
      </c>
      <c r="AA78">
        <v>3925</v>
      </c>
      <c r="AB78">
        <v>4185</v>
      </c>
      <c r="AC78">
        <f t="shared" si="24"/>
        <v>0.93787335722819598</v>
      </c>
      <c r="AD78">
        <v>0</v>
      </c>
      <c r="AE78">
        <v>54614.8086592564</v>
      </c>
      <c r="AF78">
        <v>94</v>
      </c>
      <c r="AG78">
        <f t="shared" si="25"/>
        <v>2.2461170848267622E-2</v>
      </c>
      <c r="AH78">
        <v>0.94438901910325501</v>
      </c>
      <c r="AI78" s="4">
        <v>54614.8086592564</v>
      </c>
      <c r="AJ78" s="4">
        <v>94</v>
      </c>
      <c r="AK78" s="4">
        <f t="shared" si="26"/>
        <v>2.2461170848267622E-2</v>
      </c>
      <c r="AL78">
        <v>53401.160091081598</v>
      </c>
      <c r="AM78">
        <f t="shared" si="27"/>
        <v>1.2491991974495595</v>
      </c>
      <c r="AN78">
        <v>0.29353050002828202</v>
      </c>
      <c r="AO78">
        <v>8</v>
      </c>
      <c r="AP78">
        <f t="shared" si="28"/>
        <v>0.8</v>
      </c>
      <c r="AQ78">
        <v>53893.078864920899</v>
      </c>
      <c r="AR78">
        <f t="shared" si="29"/>
        <v>1.2607065230664998</v>
      </c>
      <c r="AS78">
        <v>4.7373360000201501</v>
      </c>
      <c r="AT78">
        <v>30</v>
      </c>
      <c r="AU78">
        <f t="shared" si="30"/>
        <v>0.3</v>
      </c>
      <c r="AV78">
        <v>54559.100922824997</v>
      </c>
      <c r="AW78">
        <f t="shared" si="31"/>
        <v>1.2762866007052336</v>
      </c>
      <c r="AX78">
        <v>2.7616592000122102</v>
      </c>
      <c r="AY78" t="str">
        <f>IF(AL78=MIN(AL78,AQ78,AV78),"Simulated Annealing",IF(AQ78=MIN(AL78,AQ78,AV78),"Ant Colony Optimization","Genetic Algorithm"))</f>
        <v>Simulated Annealing</v>
      </c>
      <c r="AZ78">
        <f>MIN(AL78,AQ78,AV78)</f>
        <v>53401.160091081598</v>
      </c>
      <c r="BA78">
        <f>AZ78/F78</f>
        <v>1.2491991974495595</v>
      </c>
      <c r="BB78">
        <v>49133.647523612599</v>
      </c>
      <c r="BC78">
        <f>BB78/F78</f>
        <v>1.1493704059908045</v>
      </c>
      <c r="BD78">
        <v>0.112</v>
      </c>
      <c r="BE78">
        <v>5</v>
      </c>
      <c r="BF78">
        <v>5</v>
      </c>
    </row>
    <row r="79" spans="1:58" x14ac:dyDescent="0.3">
      <c r="A79">
        <v>78</v>
      </c>
      <c r="B79">
        <v>175</v>
      </c>
      <c r="C79">
        <v>0.43762088505951002</v>
      </c>
      <c r="D79">
        <v>5.6234391529922698</v>
      </c>
      <c r="E79">
        <f t="shared" si="16"/>
        <v>2.3713791668546533</v>
      </c>
      <c r="F79">
        <v>45979.482825643499</v>
      </c>
      <c r="G79">
        <v>0.486590299988165</v>
      </c>
      <c r="H79">
        <v>59506.841778590097</v>
      </c>
      <c r="I79">
        <f t="shared" si="17"/>
        <v>1.294204243319635</v>
      </c>
      <c r="J79">
        <v>0.14440859999740399</v>
      </c>
      <c r="K79">
        <v>189557.86390659999</v>
      </c>
      <c r="L79" t="s">
        <v>44</v>
      </c>
      <c r="M79">
        <v>0</v>
      </c>
      <c r="N79">
        <v>26</v>
      </c>
      <c r="O79">
        <f t="shared" si="18"/>
        <v>0.15428571428571428</v>
      </c>
      <c r="P79">
        <v>65933.655582186198</v>
      </c>
      <c r="Q79">
        <f t="shared" si="19"/>
        <v>1.4339799304009122</v>
      </c>
      <c r="R79">
        <v>0.486590299988165</v>
      </c>
      <c r="S79">
        <v>146</v>
      </c>
      <c r="T79">
        <f t="shared" si="20"/>
        <v>0.84</v>
      </c>
      <c r="U79">
        <v>59665.356648714202</v>
      </c>
      <c r="V79">
        <f t="shared" si="21"/>
        <v>1.2976517564359786</v>
      </c>
      <c r="W79">
        <v>0.141164600034244</v>
      </c>
      <c r="X79" t="str">
        <f>IF(H79=MIN(H79,P79,U79),"Christofides",IF(P79=MIN(H79,P79,U79),"Arithmetic Series","Nearest Neighbor"))</f>
        <v>Christofides</v>
      </c>
      <c r="Y79">
        <f t="shared" si="22"/>
        <v>59506.841778590097</v>
      </c>
      <c r="Z79">
        <f t="shared" si="23"/>
        <v>1.294204243319635</v>
      </c>
      <c r="AA79">
        <v>4174</v>
      </c>
      <c r="AB79">
        <v>4191</v>
      </c>
      <c r="AC79">
        <f t="shared" si="24"/>
        <v>0.99594368885707474</v>
      </c>
      <c r="AD79">
        <v>0</v>
      </c>
      <c r="AE79">
        <v>59515.680008167401</v>
      </c>
      <c r="AF79">
        <v>18</v>
      </c>
      <c r="AG79">
        <f t="shared" si="25"/>
        <v>4.2949176807444527E-3</v>
      </c>
      <c r="AH79">
        <v>8.8382295772244106</v>
      </c>
      <c r="AI79" s="4">
        <v>59515.680008167401</v>
      </c>
      <c r="AJ79" s="4">
        <v>18</v>
      </c>
      <c r="AK79" s="4">
        <f t="shared" si="26"/>
        <v>4.2949176807444527E-3</v>
      </c>
      <c r="AL79">
        <v>58518.384634175898</v>
      </c>
      <c r="AM79">
        <f t="shared" si="27"/>
        <v>1.2727064559660348</v>
      </c>
      <c r="AN79">
        <v>0.31334360002074302</v>
      </c>
      <c r="AO79">
        <v>2</v>
      </c>
      <c r="AP79">
        <f t="shared" si="28"/>
        <v>0.2</v>
      </c>
      <c r="AQ79">
        <v>58608.586316111403</v>
      </c>
      <c r="AR79">
        <f t="shared" si="29"/>
        <v>1.2746682370995361</v>
      </c>
      <c r="AS79">
        <v>5.7494907999644003</v>
      </c>
      <c r="AT79">
        <v>15</v>
      </c>
      <c r="AU79">
        <f t="shared" si="30"/>
        <v>0.15</v>
      </c>
      <c r="AV79">
        <v>59499.605677472297</v>
      </c>
      <c r="AW79">
        <f t="shared" si="31"/>
        <v>1.2940468665795519</v>
      </c>
      <c r="AX79">
        <v>3.4653067000326701</v>
      </c>
      <c r="AY79" t="str">
        <f>IF(AL79=MIN(AL79,AQ79,AV79),"Simulated Annealing",IF(AQ79=MIN(AL79,AQ79,AV79),"Ant Colony Optimization","Genetic Algorithm"))</f>
        <v>Simulated Annealing</v>
      </c>
      <c r="AZ79">
        <f>MIN(AL79,AQ79,AV79)</f>
        <v>58518.384634175898</v>
      </c>
      <c r="BA79">
        <f>AZ79/F79</f>
        <v>1.2727064559660348</v>
      </c>
      <c r="BB79">
        <v>53502.954619930599</v>
      </c>
      <c r="BC79">
        <f>BB79/F79</f>
        <v>1.1636267163512144</v>
      </c>
      <c r="BD79">
        <v>0.112</v>
      </c>
      <c r="BE79">
        <v>5</v>
      </c>
      <c r="BF79">
        <v>5</v>
      </c>
    </row>
    <row r="80" spans="1:58" x14ac:dyDescent="0.3">
      <c r="A80">
        <v>79</v>
      </c>
      <c r="B80">
        <v>185</v>
      </c>
      <c r="C80">
        <v>0.37013855406964402</v>
      </c>
      <c r="D80">
        <v>1.61081976315422</v>
      </c>
      <c r="E80">
        <f t="shared" si="16"/>
        <v>1.2691807448721479</v>
      </c>
      <c r="F80">
        <v>46606.160935255699</v>
      </c>
      <c r="G80">
        <v>0.60633189999498405</v>
      </c>
      <c r="H80">
        <v>59910.0522922171</v>
      </c>
      <c r="I80">
        <f t="shared" si="17"/>
        <v>1.2854534913408313</v>
      </c>
      <c r="J80">
        <v>0.16730189998634101</v>
      </c>
      <c r="K80">
        <v>214647.744343639</v>
      </c>
      <c r="L80" t="s">
        <v>44</v>
      </c>
      <c r="M80">
        <v>0</v>
      </c>
      <c r="N80">
        <v>174</v>
      </c>
      <c r="O80">
        <f t="shared" si="18"/>
        <v>0.94594594594594594</v>
      </c>
      <c r="P80">
        <v>63523.8220743454</v>
      </c>
      <c r="Q80">
        <f t="shared" si="19"/>
        <v>1.3629919478369257</v>
      </c>
      <c r="R80">
        <v>0.60633189999498405</v>
      </c>
      <c r="S80">
        <v>88</v>
      </c>
      <c r="T80">
        <f t="shared" si="20"/>
        <v>0.48108108108108111</v>
      </c>
      <c r="U80">
        <v>59299.471684202603</v>
      </c>
      <c r="V80">
        <f t="shared" si="21"/>
        <v>1.2723526352359333</v>
      </c>
      <c r="W80">
        <v>0.163178500020876</v>
      </c>
      <c r="X80" t="str">
        <f>IF(H80=MIN(H80,P80,U80),"Christofides",IF(P80=MIN(H80,P80,U80),"Arithmetic Series","Nearest Neighbor"))</f>
        <v>Nearest Neighbor</v>
      </c>
      <c r="Y80">
        <f t="shared" si="22"/>
        <v>59299.471684202603</v>
      </c>
      <c r="Z80">
        <f t="shared" si="23"/>
        <v>1.2723526352359333</v>
      </c>
      <c r="AA80">
        <v>3760</v>
      </c>
      <c r="AB80">
        <v>4196</v>
      </c>
      <c r="AC80">
        <f t="shared" si="24"/>
        <v>0.89609151572926593</v>
      </c>
      <c r="AD80">
        <v>0</v>
      </c>
      <c r="AE80">
        <v>59299.471684202603</v>
      </c>
      <c r="AF80">
        <v>178</v>
      </c>
      <c r="AG80">
        <f t="shared" si="25"/>
        <v>4.242135367016206E-2</v>
      </c>
      <c r="AH80" s="1">
        <v>5.0931703299283897E-11</v>
      </c>
      <c r="AI80" s="4">
        <v>59017.8754607343</v>
      </c>
      <c r="AJ80" s="4">
        <v>326</v>
      </c>
      <c r="AK80" s="4">
        <f t="shared" si="26"/>
        <v>7.7693040991420395E-2</v>
      </c>
      <c r="AL80">
        <v>57526.798579214999</v>
      </c>
      <c r="AM80">
        <f t="shared" si="27"/>
        <v>1.2343174684379179</v>
      </c>
      <c r="AN80">
        <v>0.31577320001088</v>
      </c>
      <c r="AO80">
        <v>9</v>
      </c>
      <c r="AP80">
        <f t="shared" si="28"/>
        <v>0.9</v>
      </c>
      <c r="AQ80">
        <v>58409.842320677497</v>
      </c>
      <c r="AR80">
        <f t="shared" si="29"/>
        <v>1.2532643999967992</v>
      </c>
      <c r="AS80">
        <v>6.6473102999734603</v>
      </c>
      <c r="AT80">
        <v>66</v>
      </c>
      <c r="AU80">
        <f t="shared" si="30"/>
        <v>0.66</v>
      </c>
      <c r="AV80">
        <v>59170.069110399301</v>
      </c>
      <c r="AW80">
        <f t="shared" si="31"/>
        <v>1.2695761230494209</v>
      </c>
      <c r="AX80">
        <v>4.0076431000488801</v>
      </c>
      <c r="AY80" t="str">
        <f>IF(AL80=MIN(AL80,AQ80,AV80),"Simulated Annealing",IF(AQ80=MIN(AL80,AQ80,AV80),"Ant Colony Optimization","Genetic Algorithm"))</f>
        <v>Simulated Annealing</v>
      </c>
      <c r="AZ80">
        <f>MIN(AL80,AQ80,AV80)</f>
        <v>57526.798579214999</v>
      </c>
      <c r="BA80">
        <f>AZ80/F80</f>
        <v>1.2343174684379179</v>
      </c>
      <c r="BB80">
        <v>53368.663201905198</v>
      </c>
      <c r="BC80">
        <f>BB80/F80</f>
        <v>1.1450988910252407</v>
      </c>
      <c r="BD80">
        <v>0.112</v>
      </c>
      <c r="BE80">
        <v>5</v>
      </c>
      <c r="BF80">
        <v>5.0549999999999997</v>
      </c>
    </row>
    <row r="81" spans="1:58" x14ac:dyDescent="0.3">
      <c r="A81">
        <v>80</v>
      </c>
      <c r="B81">
        <v>195</v>
      </c>
      <c r="C81">
        <v>0.36073140396527698</v>
      </c>
      <c r="D81">
        <v>5.7783921947796797</v>
      </c>
      <c r="E81">
        <f t="shared" si="16"/>
        <v>2.4038286533735467</v>
      </c>
      <c r="F81">
        <v>46697.163340820698</v>
      </c>
      <c r="G81">
        <v>0.72115699999267202</v>
      </c>
      <c r="H81">
        <v>62758.389343475901</v>
      </c>
      <c r="I81">
        <f t="shared" si="17"/>
        <v>1.3439443609332722</v>
      </c>
      <c r="J81">
        <v>0.19180500000948</v>
      </c>
      <c r="K81">
        <v>241427.325511537</v>
      </c>
      <c r="L81" t="s">
        <v>44</v>
      </c>
      <c r="M81">
        <v>0</v>
      </c>
      <c r="N81">
        <v>104</v>
      </c>
      <c r="O81">
        <f t="shared" si="18"/>
        <v>0.53846153846153844</v>
      </c>
      <c r="P81">
        <v>64176.8451507067</v>
      </c>
      <c r="Q81">
        <f t="shared" si="19"/>
        <v>1.3743199920369895</v>
      </c>
      <c r="R81">
        <v>0.72115699999267202</v>
      </c>
      <c r="S81">
        <v>106</v>
      </c>
      <c r="T81">
        <f t="shared" si="20"/>
        <v>0.54871794871794877</v>
      </c>
      <c r="U81">
        <v>61469.306280028701</v>
      </c>
      <c r="V81">
        <f t="shared" si="21"/>
        <v>1.3163391924128893</v>
      </c>
      <c r="W81">
        <v>0.19441090000327599</v>
      </c>
      <c r="X81" t="str">
        <f>IF(H81=MIN(H81,P81,U81),"Christofides",IF(P81=MIN(H81,P81,U81),"Arithmetic Series","Nearest Neighbor"))</f>
        <v>Nearest Neighbor</v>
      </c>
      <c r="Y81">
        <f t="shared" si="22"/>
        <v>61469.306280028701</v>
      </c>
      <c r="Z81">
        <f t="shared" si="23"/>
        <v>1.3163391924128893</v>
      </c>
      <c r="AA81">
        <v>4145</v>
      </c>
      <c r="AB81">
        <v>4201</v>
      </c>
      <c r="AC81">
        <f t="shared" si="24"/>
        <v>0.98666984051416329</v>
      </c>
      <c r="AD81">
        <v>0</v>
      </c>
      <c r="AE81">
        <v>61469.306280028701</v>
      </c>
      <c r="AF81">
        <v>63</v>
      </c>
      <c r="AG81">
        <f t="shared" si="25"/>
        <v>1.4996429421566294E-2</v>
      </c>
      <c r="AH81" s="1">
        <v>4.3655745685100497E-11</v>
      </c>
      <c r="AI81" s="4">
        <v>59750.687689528801</v>
      </c>
      <c r="AJ81" s="4">
        <v>3904</v>
      </c>
      <c r="AK81" s="4">
        <f t="shared" si="26"/>
        <v>0.92930254701261605</v>
      </c>
      <c r="AL81">
        <v>59679.004553139501</v>
      </c>
      <c r="AM81">
        <f t="shared" si="27"/>
        <v>1.2780006382308584</v>
      </c>
      <c r="AN81">
        <v>0.34441270004026497</v>
      </c>
      <c r="AO81">
        <v>4</v>
      </c>
      <c r="AP81">
        <f t="shared" si="28"/>
        <v>0.4</v>
      </c>
      <c r="AQ81">
        <v>60117.508504923899</v>
      </c>
      <c r="AR81">
        <f t="shared" si="29"/>
        <v>1.2873910148707406</v>
      </c>
      <c r="AS81">
        <v>7.4407074000337099</v>
      </c>
      <c r="AT81">
        <v>74</v>
      </c>
      <c r="AU81">
        <f t="shared" si="30"/>
        <v>0.74</v>
      </c>
      <c r="AV81">
        <v>60969.309908804898</v>
      </c>
      <c r="AW81">
        <f t="shared" si="31"/>
        <v>1.3056319816220634</v>
      </c>
      <c r="AX81">
        <v>4.4612546999705902</v>
      </c>
      <c r="AY81" t="str">
        <f>IF(AL81=MIN(AL81,AQ81,AV81),"Simulated Annealing",IF(AQ81=MIN(AL81,AQ81,AV81),"Ant Colony Optimization","Genetic Algorithm"))</f>
        <v>Simulated Annealing</v>
      </c>
      <c r="AZ81">
        <f>MIN(AL81,AQ81,AV81)</f>
        <v>59679.004553139501</v>
      </c>
      <c r="BA81">
        <f>AZ81/F81</f>
        <v>1.2780006382308584</v>
      </c>
      <c r="BB81">
        <v>54520.010608739598</v>
      </c>
      <c r="BC81">
        <f>BB81/F81</f>
        <v>1.1675229651707879</v>
      </c>
      <c r="BD81">
        <v>0.112</v>
      </c>
      <c r="BE81">
        <v>5</v>
      </c>
      <c r="BF81">
        <v>5</v>
      </c>
    </row>
    <row r="82" spans="1:58" x14ac:dyDescent="0.3">
      <c r="A82">
        <v>81</v>
      </c>
      <c r="B82">
        <v>205</v>
      </c>
      <c r="C82">
        <v>0.32616381736829803</v>
      </c>
      <c r="D82">
        <v>2.3676094968943602</v>
      </c>
      <c r="E82">
        <f t="shared" si="16"/>
        <v>1.5387038366412038</v>
      </c>
      <c r="F82">
        <v>47826.631108736299</v>
      </c>
      <c r="G82">
        <v>0.80517200002213896</v>
      </c>
      <c r="H82">
        <v>62043.9512543827</v>
      </c>
      <c r="I82">
        <f t="shared" si="17"/>
        <v>1.2972678571761116</v>
      </c>
      <c r="J82">
        <v>0.23437600000761399</v>
      </c>
      <c r="K82">
        <v>269919.56750563701</v>
      </c>
      <c r="L82" t="s">
        <v>44</v>
      </c>
      <c r="M82">
        <v>1</v>
      </c>
      <c r="N82">
        <v>136</v>
      </c>
      <c r="O82">
        <f t="shared" si="18"/>
        <v>0.66829268292682931</v>
      </c>
      <c r="P82">
        <v>65567.261552501906</v>
      </c>
      <c r="Q82">
        <f t="shared" si="19"/>
        <v>1.370936234321656</v>
      </c>
      <c r="R82">
        <v>0.80517200002213896</v>
      </c>
      <c r="S82">
        <v>186</v>
      </c>
      <c r="T82">
        <f t="shared" si="20"/>
        <v>0.91219512195121955</v>
      </c>
      <c r="U82">
        <v>61299.874558197102</v>
      </c>
      <c r="V82">
        <f t="shared" si="21"/>
        <v>1.2817100669045389</v>
      </c>
      <c r="W82">
        <v>0.226387500006239</v>
      </c>
      <c r="X82" t="str">
        <f>IF(H82=MIN(H82,P82,U82),"Christofides",IF(P82=MIN(H82,P82,U82),"Arithmetic Series","Nearest Neighbor"))</f>
        <v>Nearest Neighbor</v>
      </c>
      <c r="Y82">
        <f t="shared" si="22"/>
        <v>61299.874558197102</v>
      </c>
      <c r="Z82">
        <f t="shared" si="23"/>
        <v>1.2817100669045389</v>
      </c>
      <c r="AA82">
        <v>3629</v>
      </c>
      <c r="AB82">
        <v>4206</v>
      </c>
      <c r="AC82">
        <f t="shared" si="24"/>
        <v>0.86281502615311456</v>
      </c>
      <c r="AD82">
        <v>0</v>
      </c>
      <c r="AE82">
        <v>60837.756139549499</v>
      </c>
      <c r="AF82">
        <v>196</v>
      </c>
      <c r="AG82">
        <f t="shared" si="25"/>
        <v>4.6600095102234902E-2</v>
      </c>
      <c r="AH82" s="1">
        <v>6.5483618527650794E-11</v>
      </c>
      <c r="AI82" s="4">
        <v>60837.756139549499</v>
      </c>
      <c r="AJ82" s="4">
        <v>196</v>
      </c>
      <c r="AK82" s="4">
        <f t="shared" si="26"/>
        <v>4.6600095102234902E-2</v>
      </c>
      <c r="AL82">
        <v>60152.347672105003</v>
      </c>
      <c r="AM82">
        <f t="shared" si="27"/>
        <v>1.2577165959138028</v>
      </c>
      <c r="AN82">
        <v>0.35459050000645198</v>
      </c>
      <c r="AO82">
        <v>6</v>
      </c>
      <c r="AP82">
        <f t="shared" si="28"/>
        <v>0.6</v>
      </c>
      <c r="AQ82">
        <v>60673.121389469503</v>
      </c>
      <c r="AR82">
        <f t="shared" si="29"/>
        <v>1.2686053770236514</v>
      </c>
      <c r="AS82">
        <v>8.38789399998495</v>
      </c>
      <c r="AT82">
        <v>69</v>
      </c>
      <c r="AU82">
        <f t="shared" si="30"/>
        <v>0.69</v>
      </c>
      <c r="AV82">
        <v>61281.219762603199</v>
      </c>
      <c r="AW82">
        <f t="shared" si="31"/>
        <v>1.2813200165254626</v>
      </c>
      <c r="AX82">
        <v>5.3581573000410501</v>
      </c>
      <c r="AY82" t="str">
        <f>IF(AL82=MIN(AL82,AQ82,AV82),"Simulated Annealing",IF(AQ82=MIN(AL82,AQ82,AV82),"Ant Colony Optimization","Genetic Algorithm"))</f>
        <v>Simulated Annealing</v>
      </c>
      <c r="AZ82">
        <f>MIN(AL82,AQ82,AV82)</f>
        <v>60152.347672105003</v>
      </c>
      <c r="BA82">
        <f>AZ82/F82</f>
        <v>1.2577165959138028</v>
      </c>
      <c r="BB82">
        <v>55028.765731543201</v>
      </c>
      <c r="BC82">
        <f>BB82/F82</f>
        <v>1.1505883742142005</v>
      </c>
      <c r="BD82">
        <v>0.112</v>
      </c>
      <c r="BE82">
        <v>5</v>
      </c>
      <c r="BF82">
        <v>5.1180000000000003</v>
      </c>
    </row>
    <row r="83" spans="1:58" x14ac:dyDescent="0.3">
      <c r="A83">
        <v>82</v>
      </c>
      <c r="B83">
        <v>215</v>
      </c>
      <c r="C83">
        <v>0.28374046649339102</v>
      </c>
      <c r="D83">
        <v>2.0027222148835899</v>
      </c>
      <c r="E83">
        <f t="shared" si="16"/>
        <v>1.4151756833989164</v>
      </c>
      <c r="F83">
        <v>53035.732319242998</v>
      </c>
      <c r="G83">
        <v>1.00861129997065</v>
      </c>
      <c r="H83">
        <v>68627.032599618702</v>
      </c>
      <c r="I83">
        <f t="shared" si="17"/>
        <v>1.2939772790639623</v>
      </c>
      <c r="J83">
        <v>0.204892999958246</v>
      </c>
      <c r="K83">
        <v>300128.71719566098</v>
      </c>
      <c r="L83" t="s">
        <v>44</v>
      </c>
      <c r="M83">
        <v>1</v>
      </c>
      <c r="N83">
        <v>151</v>
      </c>
      <c r="O83">
        <f t="shared" si="18"/>
        <v>0.7069767441860465</v>
      </c>
      <c r="P83">
        <v>79724.612446086496</v>
      </c>
      <c r="Q83">
        <f t="shared" si="19"/>
        <v>1.5032245046828541</v>
      </c>
      <c r="R83">
        <v>1.00861129997065</v>
      </c>
      <c r="S83">
        <v>14</v>
      </c>
      <c r="T83">
        <f t="shared" si="20"/>
        <v>6.9767441860465115E-2</v>
      </c>
      <c r="U83">
        <v>67652.371004316607</v>
      </c>
      <c r="V83">
        <f t="shared" si="21"/>
        <v>1.2755998276235783</v>
      </c>
      <c r="W83">
        <v>0.25726159999612702</v>
      </c>
      <c r="X83" t="str">
        <f>IF(H83=MIN(H83,P83,U83),"Christofides",IF(P83=MIN(H83,P83,U83),"Arithmetic Series","Nearest Neighbor"))</f>
        <v>Nearest Neighbor</v>
      </c>
      <c r="Y83">
        <f t="shared" si="22"/>
        <v>67652.371004316607</v>
      </c>
      <c r="Z83">
        <f t="shared" si="23"/>
        <v>1.2755998276235783</v>
      </c>
      <c r="AA83">
        <v>4185</v>
      </c>
      <c r="AB83">
        <v>4211</v>
      </c>
      <c r="AC83">
        <f t="shared" si="24"/>
        <v>0.99382569460935644</v>
      </c>
      <c r="AD83">
        <v>0</v>
      </c>
      <c r="AE83">
        <v>67440.116797921699</v>
      </c>
      <c r="AF83">
        <v>239</v>
      </c>
      <c r="AG83">
        <f t="shared" si="25"/>
        <v>5.6756114937069578E-2</v>
      </c>
      <c r="AH83" s="1">
        <v>5.8207660913467401E-11</v>
      </c>
      <c r="AI83" s="4">
        <v>66497.1782599898</v>
      </c>
      <c r="AJ83" s="4">
        <v>1559</v>
      </c>
      <c r="AK83" s="4">
        <f t="shared" si="26"/>
        <v>0.37022085015435763</v>
      </c>
      <c r="AL83">
        <v>66211.946482650106</v>
      </c>
      <c r="AM83">
        <f t="shared" si="27"/>
        <v>1.2484403172580756</v>
      </c>
      <c r="AN83">
        <v>0.37679660000139797</v>
      </c>
      <c r="AO83">
        <v>7</v>
      </c>
      <c r="AP83">
        <f t="shared" si="28"/>
        <v>0.7</v>
      </c>
      <c r="AQ83">
        <v>65831.468990934998</v>
      </c>
      <c r="AR83">
        <f t="shared" si="29"/>
        <v>1.2412663333216447</v>
      </c>
      <c r="AS83">
        <v>9.2957223000121303</v>
      </c>
      <c r="AT83">
        <v>26</v>
      </c>
      <c r="AU83">
        <f t="shared" si="30"/>
        <v>0.26</v>
      </c>
      <c r="AV83">
        <v>66474.147308272397</v>
      </c>
      <c r="AW83">
        <f t="shared" si="31"/>
        <v>1.253384169528164</v>
      </c>
      <c r="AX83">
        <v>5.9246660000062503</v>
      </c>
      <c r="AY83" t="str">
        <f>IF(AL83=MIN(AL83,AQ83,AV83),"Simulated Annealing",IF(AQ83=MIN(AL83,AQ83,AV83),"Ant Colony Optimization","Genetic Algorithm"))</f>
        <v>Ant Colony Optimization</v>
      </c>
      <c r="AZ83">
        <f>MIN(AL83,AQ83,AV83)</f>
        <v>65831.468990934998</v>
      </c>
      <c r="BA83">
        <f>AZ83/F83</f>
        <v>1.2412663333216447</v>
      </c>
      <c r="BB83">
        <v>61246.5337435439</v>
      </c>
      <c r="BC83">
        <f>BB83/F83</f>
        <v>1.1548164051903129</v>
      </c>
      <c r="BD83">
        <v>6.4000000000000001E-2</v>
      </c>
      <c r="BE83">
        <v>5</v>
      </c>
      <c r="BF83">
        <v>5.0460000000000003</v>
      </c>
    </row>
    <row r="84" spans="1:58" x14ac:dyDescent="0.3">
      <c r="A84">
        <v>83</v>
      </c>
      <c r="B84">
        <v>225</v>
      </c>
      <c r="C84">
        <v>0.268959884272293</v>
      </c>
      <c r="D84">
        <v>3.2888726448808998</v>
      </c>
      <c r="E84">
        <f t="shared" si="16"/>
        <v>1.8135249225971226</v>
      </c>
      <c r="F84">
        <v>51346.144177849499</v>
      </c>
      <c r="G84">
        <v>1.11828090000199</v>
      </c>
      <c r="H84">
        <v>67904.545114369495</v>
      </c>
      <c r="I84">
        <f t="shared" si="17"/>
        <v>1.3224857718461986</v>
      </c>
      <c r="J84">
        <v>0.23887140001170301</v>
      </c>
      <c r="K84">
        <v>332080.86429318698</v>
      </c>
      <c r="L84" t="s">
        <v>44</v>
      </c>
      <c r="M84">
        <v>0</v>
      </c>
      <c r="N84">
        <v>105</v>
      </c>
      <c r="O84">
        <f t="shared" si="18"/>
        <v>0.47111111111111109</v>
      </c>
      <c r="P84">
        <v>76608.025778511001</v>
      </c>
      <c r="Q84">
        <f t="shared" si="19"/>
        <v>1.4919917942262813</v>
      </c>
      <c r="R84">
        <v>1.11828090000199</v>
      </c>
      <c r="S84">
        <v>177</v>
      </c>
      <c r="T84">
        <f t="shared" si="20"/>
        <v>0.7911111111111111</v>
      </c>
      <c r="U84">
        <v>69569.600959573407</v>
      </c>
      <c r="V84">
        <f t="shared" si="21"/>
        <v>1.3549138318663747</v>
      </c>
      <c r="W84">
        <v>0.29887040000176002</v>
      </c>
      <c r="X84" t="str">
        <f>IF(H84=MIN(H84,P84,U84),"Christofides",IF(P84=MIN(H84,P84,U84),"Arithmetic Series","Nearest Neighbor"))</f>
        <v>Christofides</v>
      </c>
      <c r="Y84">
        <f t="shared" si="22"/>
        <v>67904.545114369495</v>
      </c>
      <c r="Z84">
        <f t="shared" si="23"/>
        <v>1.3224857718461986</v>
      </c>
      <c r="AA84">
        <v>2432</v>
      </c>
      <c r="AB84">
        <v>4216</v>
      </c>
      <c r="AC84">
        <f t="shared" si="24"/>
        <v>0.57685009487666039</v>
      </c>
      <c r="AD84">
        <v>0</v>
      </c>
      <c r="AE84">
        <v>67904.545114369495</v>
      </c>
      <c r="AF84">
        <v>37</v>
      </c>
      <c r="AG84">
        <f t="shared" si="25"/>
        <v>8.7760910815939275E-3</v>
      </c>
      <c r="AH84" s="1">
        <v>2.91038304567337E-11</v>
      </c>
      <c r="AI84" s="4">
        <v>67904.545114369495</v>
      </c>
      <c r="AJ84" s="4">
        <v>37</v>
      </c>
      <c r="AK84" s="4">
        <f t="shared" si="26"/>
        <v>8.7760910815939275E-3</v>
      </c>
      <c r="AL84">
        <v>66706.460299717699</v>
      </c>
      <c r="AM84">
        <f t="shared" si="27"/>
        <v>1.2991522804256561</v>
      </c>
      <c r="AN84">
        <v>0.37850079999770903</v>
      </c>
      <c r="AO84">
        <v>0</v>
      </c>
      <c r="AP84">
        <f t="shared" si="28"/>
        <v>0</v>
      </c>
      <c r="AQ84">
        <v>67904.545114369495</v>
      </c>
      <c r="AR84">
        <f t="shared" si="29"/>
        <v>1.3224857718461986</v>
      </c>
      <c r="AS84">
        <v>10.5922768999589</v>
      </c>
      <c r="AT84">
        <v>41</v>
      </c>
      <c r="AU84">
        <f t="shared" si="30"/>
        <v>0.41</v>
      </c>
      <c r="AV84">
        <v>67678.684751721405</v>
      </c>
      <c r="AW84">
        <f t="shared" si="31"/>
        <v>1.3180869924195338</v>
      </c>
      <c r="AX84">
        <v>7.0107366999727603</v>
      </c>
      <c r="AY84" t="str">
        <f>IF(AL84=MIN(AL84,AQ84,AV84),"Simulated Annealing",IF(AQ84=MIN(AL84,AQ84,AV84),"Ant Colony Optimization","Genetic Algorithm"))</f>
        <v>Simulated Annealing</v>
      </c>
      <c r="AZ84">
        <f>MIN(AL84,AQ84,AV84)</f>
        <v>66706.460299717699</v>
      </c>
      <c r="BA84">
        <f>AZ84/F84</f>
        <v>1.2991522804256561</v>
      </c>
      <c r="BB84">
        <v>59194.322289887103</v>
      </c>
      <c r="BC84">
        <f>BB84/F84</f>
        <v>1.1528484414497335</v>
      </c>
      <c r="BD84">
        <v>0.112</v>
      </c>
      <c r="BE84">
        <v>5</v>
      </c>
      <c r="BF84">
        <v>5</v>
      </c>
    </row>
    <row r="85" spans="1:58" x14ac:dyDescent="0.3">
      <c r="A85">
        <v>84</v>
      </c>
      <c r="B85">
        <v>235</v>
      </c>
      <c r="C85">
        <v>0.241221992911024</v>
      </c>
      <c r="D85">
        <v>1.8250131594127399</v>
      </c>
      <c r="E85">
        <f t="shared" si="16"/>
        <v>1.3509304791190182</v>
      </c>
      <c r="F85">
        <v>50894.622236066003</v>
      </c>
      <c r="G85">
        <v>1.22771159996045</v>
      </c>
      <c r="H85">
        <v>68336.619664550002</v>
      </c>
      <c r="I85">
        <f t="shared" si="17"/>
        <v>1.3427080634881674</v>
      </c>
      <c r="J85">
        <v>0.25557420001132403</v>
      </c>
      <c r="K85">
        <v>365785.04564412101</v>
      </c>
      <c r="L85" t="s">
        <v>44</v>
      </c>
      <c r="M85">
        <v>0</v>
      </c>
      <c r="N85">
        <v>210</v>
      </c>
      <c r="O85">
        <f t="shared" si="18"/>
        <v>0.89787234042553188</v>
      </c>
      <c r="P85">
        <v>70474.1410833626</v>
      </c>
      <c r="Q85">
        <f t="shared" si="19"/>
        <v>1.384707027718574</v>
      </c>
      <c r="R85">
        <v>1.22771159996045</v>
      </c>
      <c r="S85">
        <v>48</v>
      </c>
      <c r="T85">
        <f t="shared" si="20"/>
        <v>0.20851063829787234</v>
      </c>
      <c r="U85">
        <v>65640.4683208348</v>
      </c>
      <c r="V85">
        <f t="shared" si="21"/>
        <v>1.2897328919423492</v>
      </c>
      <c r="W85">
        <v>0.33231399999931399</v>
      </c>
      <c r="X85" t="str">
        <f>IF(H85=MIN(H85,P85,U85),"Christofides",IF(P85=MIN(H85,P85,U85),"Arithmetic Series","Nearest Neighbor"))</f>
        <v>Nearest Neighbor</v>
      </c>
      <c r="Y85">
        <f t="shared" si="22"/>
        <v>65640.4683208348</v>
      </c>
      <c r="Z85">
        <f t="shared" si="23"/>
        <v>1.2897328919423492</v>
      </c>
      <c r="AA85">
        <v>4129</v>
      </c>
      <c r="AB85">
        <v>4220</v>
      </c>
      <c r="AC85">
        <f t="shared" si="24"/>
        <v>0.978436018957346</v>
      </c>
      <c r="AD85">
        <v>0</v>
      </c>
      <c r="AE85">
        <v>65368.612629568102</v>
      </c>
      <c r="AF85">
        <v>192</v>
      </c>
      <c r="AG85">
        <f t="shared" si="25"/>
        <v>4.5497630331753552E-2</v>
      </c>
      <c r="AH85" s="1">
        <v>8.7311491370201098E-11</v>
      </c>
      <c r="AI85" s="4">
        <v>65368.612629568102</v>
      </c>
      <c r="AJ85" s="4">
        <v>192</v>
      </c>
      <c r="AK85" s="4">
        <f t="shared" si="26"/>
        <v>4.5497630331753552E-2</v>
      </c>
      <c r="AL85">
        <v>63870.090085100601</v>
      </c>
      <c r="AM85">
        <f t="shared" si="27"/>
        <v>1.2549477190114529</v>
      </c>
      <c r="AN85">
        <v>0.388902699982281</v>
      </c>
      <c r="AO85">
        <v>4</v>
      </c>
      <c r="AP85">
        <f t="shared" si="28"/>
        <v>0.4</v>
      </c>
      <c r="AQ85">
        <v>65036.273590454803</v>
      </c>
      <c r="AR85">
        <f t="shared" si="29"/>
        <v>1.2778614072189232</v>
      </c>
      <c r="AS85">
        <v>11.5368193999747</v>
      </c>
      <c r="AT85">
        <v>0</v>
      </c>
      <c r="AU85">
        <f t="shared" si="30"/>
        <v>0</v>
      </c>
      <c r="AV85">
        <v>65640.4683208348</v>
      </c>
      <c r="AW85">
        <f t="shared" si="31"/>
        <v>1.2897328919423492</v>
      </c>
      <c r="AX85">
        <v>7.7351837999885902</v>
      </c>
      <c r="AY85" t="str">
        <f>IF(AL85=MIN(AL85,AQ85,AV85),"Simulated Annealing",IF(AQ85=MIN(AL85,AQ85,AV85),"Ant Colony Optimization","Genetic Algorithm"))</f>
        <v>Simulated Annealing</v>
      </c>
      <c r="AZ85">
        <f>MIN(AL85,AQ85,AV85)</f>
        <v>63870.090085100601</v>
      </c>
      <c r="BA85">
        <f>AZ85/F85</f>
        <v>1.2549477190114529</v>
      </c>
      <c r="BB85">
        <v>58776.725632301197</v>
      </c>
      <c r="BC85">
        <f>BB85/F85</f>
        <v>1.1548710462900267</v>
      </c>
      <c r="BD85">
        <v>0.112</v>
      </c>
      <c r="BE85">
        <v>5</v>
      </c>
      <c r="BF85">
        <v>5</v>
      </c>
    </row>
    <row r="86" spans="1:58" x14ac:dyDescent="0.3">
      <c r="A86">
        <v>85</v>
      </c>
      <c r="B86">
        <v>245</v>
      </c>
      <c r="C86">
        <v>0.22038943889415899</v>
      </c>
      <c r="D86">
        <v>1.0676457638680601</v>
      </c>
      <c r="E86">
        <f t="shared" si="16"/>
        <v>1.0332694536605929</v>
      </c>
      <c r="F86">
        <v>52588.881297749002</v>
      </c>
      <c r="G86">
        <v>1.43246250000083</v>
      </c>
      <c r="H86">
        <v>69659.338660553796</v>
      </c>
      <c r="I86">
        <f t="shared" si="17"/>
        <v>1.3246020250203625</v>
      </c>
      <c r="J86">
        <v>0.29322570003569098</v>
      </c>
      <c r="K86">
        <v>401245.039556587</v>
      </c>
      <c r="L86" t="s">
        <v>44</v>
      </c>
      <c r="M86">
        <v>0</v>
      </c>
      <c r="N86">
        <v>115</v>
      </c>
      <c r="O86">
        <f t="shared" si="18"/>
        <v>0.47346938775510206</v>
      </c>
      <c r="P86">
        <v>77858.832577829104</v>
      </c>
      <c r="Q86">
        <f t="shared" si="19"/>
        <v>1.4805188978446999</v>
      </c>
      <c r="R86">
        <v>1.43246250000083</v>
      </c>
      <c r="S86">
        <v>96</v>
      </c>
      <c r="T86">
        <f t="shared" si="20"/>
        <v>0.39591836734693875</v>
      </c>
      <c r="U86">
        <v>67651.380244042593</v>
      </c>
      <c r="V86">
        <f t="shared" si="21"/>
        <v>1.2864198396047326</v>
      </c>
      <c r="W86">
        <v>0.38351729995338202</v>
      </c>
      <c r="X86" t="str">
        <f>IF(H86=MIN(H86,P86,U86),"Christofides",IF(P86=MIN(H86,P86,U86),"Arithmetic Series","Nearest Neighbor"))</f>
        <v>Nearest Neighbor</v>
      </c>
      <c r="Y86">
        <f t="shared" si="22"/>
        <v>67651.380244042593</v>
      </c>
      <c r="Z86">
        <f t="shared" si="23"/>
        <v>1.2864198396047326</v>
      </c>
      <c r="AA86">
        <v>2932</v>
      </c>
      <c r="AB86">
        <v>4224</v>
      </c>
      <c r="AC86">
        <f t="shared" si="24"/>
        <v>0.69412878787878785</v>
      </c>
      <c r="AD86">
        <v>0</v>
      </c>
      <c r="AE86">
        <v>67651.380244042593</v>
      </c>
      <c r="AF86">
        <v>56</v>
      </c>
      <c r="AG86">
        <f t="shared" si="25"/>
        <v>1.3257575757575758E-2</v>
      </c>
      <c r="AH86" s="1">
        <v>8.7311491370201098E-11</v>
      </c>
      <c r="AI86" s="4">
        <v>66724.845805538003</v>
      </c>
      <c r="AJ86" s="4">
        <v>3786</v>
      </c>
      <c r="AK86" s="4">
        <f t="shared" si="26"/>
        <v>0.89630681818181823</v>
      </c>
      <c r="AL86">
        <v>66724.845805538003</v>
      </c>
      <c r="AM86">
        <f t="shared" si="27"/>
        <v>1.2688013922135681</v>
      </c>
      <c r="AN86">
        <v>0.43594840000150697</v>
      </c>
      <c r="AO86">
        <v>0</v>
      </c>
      <c r="AP86">
        <f t="shared" si="28"/>
        <v>0</v>
      </c>
      <c r="AQ86">
        <v>67651.380244042593</v>
      </c>
      <c r="AR86">
        <f t="shared" si="29"/>
        <v>1.2864198396047326</v>
      </c>
      <c r="AS86">
        <v>13.1102268000249</v>
      </c>
      <c r="AT86">
        <v>0</v>
      </c>
      <c r="AU86">
        <f t="shared" si="30"/>
        <v>0</v>
      </c>
      <c r="AV86">
        <v>67651.380244042593</v>
      </c>
      <c r="AW86">
        <f t="shared" si="31"/>
        <v>1.2864198396047326</v>
      </c>
      <c r="AX86">
        <v>9.0317206999752599</v>
      </c>
      <c r="AY86" t="str">
        <f>IF(AL86=MIN(AL86,AQ86,AV86),"Simulated Annealing",IF(AQ86=MIN(AL86,AQ86,AV86),"Ant Colony Optimization","Genetic Algorithm"))</f>
        <v>Simulated Annealing</v>
      </c>
      <c r="AZ86">
        <f>MIN(AL86,AQ86,AV86)</f>
        <v>66724.845805538003</v>
      </c>
      <c r="BA86">
        <f>AZ86/F86</f>
        <v>1.2688013922135681</v>
      </c>
      <c r="BB86">
        <v>60122.0573940799</v>
      </c>
      <c r="BC86">
        <f>BB86/F86</f>
        <v>1.143246555363659</v>
      </c>
      <c r="BD86">
        <v>0.112</v>
      </c>
      <c r="BE86">
        <v>5</v>
      </c>
      <c r="BF86">
        <v>5</v>
      </c>
    </row>
    <row r="87" spans="1:58" x14ac:dyDescent="0.3">
      <c r="A87">
        <v>86</v>
      </c>
      <c r="B87">
        <v>255</v>
      </c>
      <c r="C87">
        <v>0.205313258701081</v>
      </c>
      <c r="D87">
        <v>0.730362044255632</v>
      </c>
      <c r="E87">
        <f t="shared" si="16"/>
        <v>0.85461221864400694</v>
      </c>
      <c r="F87">
        <v>54203.728630245903</v>
      </c>
      <c r="G87">
        <v>1.61036520003108</v>
      </c>
      <c r="H87">
        <v>68969.368961301094</v>
      </c>
      <c r="I87">
        <f t="shared" si="17"/>
        <v>1.2724100482418825</v>
      </c>
      <c r="J87">
        <v>0.34152319998247499</v>
      </c>
      <c r="K87">
        <v>438489.36987853202</v>
      </c>
      <c r="L87" t="s">
        <v>44</v>
      </c>
      <c r="M87">
        <v>0</v>
      </c>
      <c r="N87">
        <v>70</v>
      </c>
      <c r="O87">
        <f t="shared" si="18"/>
        <v>0.27843137254901962</v>
      </c>
      <c r="P87">
        <v>79419.237906480994</v>
      </c>
      <c r="Q87">
        <f t="shared" si="19"/>
        <v>1.4651987956076649</v>
      </c>
      <c r="R87">
        <v>1.61036520003108</v>
      </c>
      <c r="S87">
        <v>217</v>
      </c>
      <c r="T87">
        <f t="shared" si="20"/>
        <v>0.85490196078431369</v>
      </c>
      <c r="U87">
        <v>71862.318522301604</v>
      </c>
      <c r="V87">
        <f t="shared" si="21"/>
        <v>1.3257818297430213</v>
      </c>
      <c r="W87">
        <v>0.44914229999994798</v>
      </c>
      <c r="X87" t="str">
        <f>IF(H87=MIN(H87,P87,U87),"Christofides",IF(P87=MIN(H87,P87,U87),"Arithmetic Series","Nearest Neighbor"))</f>
        <v>Christofides</v>
      </c>
      <c r="Y87">
        <f t="shared" si="22"/>
        <v>68969.368961301094</v>
      </c>
      <c r="Z87">
        <f t="shared" si="23"/>
        <v>1.2724100482418825</v>
      </c>
      <c r="AA87">
        <v>3884</v>
      </c>
      <c r="AB87">
        <v>4228</v>
      </c>
      <c r="AC87">
        <f t="shared" si="24"/>
        <v>0.91863765373699147</v>
      </c>
      <c r="AD87">
        <v>0</v>
      </c>
      <c r="AE87">
        <v>68325.703862918002</v>
      </c>
      <c r="AF87">
        <v>885</v>
      </c>
      <c r="AG87">
        <f t="shared" si="25"/>
        <v>0.20931882686849573</v>
      </c>
      <c r="AH87" s="1">
        <v>5.8207660913467401E-11</v>
      </c>
      <c r="AI87" s="4">
        <v>68029.796443665298</v>
      </c>
      <c r="AJ87" s="4">
        <v>2563</v>
      </c>
      <c r="AK87" s="4">
        <f t="shared" si="26"/>
        <v>0.60619678334910121</v>
      </c>
      <c r="AL87">
        <v>67577.200335072601</v>
      </c>
      <c r="AM87">
        <f t="shared" si="27"/>
        <v>1.2467260471333008</v>
      </c>
      <c r="AN87">
        <v>0.43635470001026899</v>
      </c>
      <c r="AO87">
        <v>1</v>
      </c>
      <c r="AP87">
        <f t="shared" si="28"/>
        <v>0.1</v>
      </c>
      <c r="AQ87">
        <v>68969.368961301006</v>
      </c>
      <c r="AR87">
        <f t="shared" si="29"/>
        <v>1.2724100482418808</v>
      </c>
      <c r="AS87">
        <v>14.373590199975199</v>
      </c>
      <c r="AT87">
        <v>47</v>
      </c>
      <c r="AU87">
        <f t="shared" si="30"/>
        <v>0.47</v>
      </c>
      <c r="AV87">
        <v>68767.330194017806</v>
      </c>
      <c r="AW87">
        <f t="shared" si="31"/>
        <v>1.2686826521311554</v>
      </c>
      <c r="AX87">
        <v>9.9864739000331593</v>
      </c>
      <c r="AY87" t="str">
        <f>IF(AL87=MIN(AL87,AQ87,AV87),"Simulated Annealing",IF(AQ87=MIN(AL87,AQ87,AV87),"Ant Colony Optimization","Genetic Algorithm"))</f>
        <v>Simulated Annealing</v>
      </c>
      <c r="AZ87">
        <f>MIN(AL87,AQ87,AV87)</f>
        <v>67577.200335072601</v>
      </c>
      <c r="BA87">
        <f>AZ87/F87</f>
        <v>1.2467260471333008</v>
      </c>
      <c r="BB87">
        <v>62710.441913413299</v>
      </c>
      <c r="BC87">
        <f>BB87/F87</f>
        <v>1.1569396330868023</v>
      </c>
      <c r="BD87">
        <v>0.112</v>
      </c>
      <c r="BE87">
        <v>5</v>
      </c>
      <c r="BF87">
        <v>5</v>
      </c>
    </row>
    <row r="88" spans="1:58" x14ac:dyDescent="0.3">
      <c r="A88">
        <v>87</v>
      </c>
      <c r="B88">
        <v>265</v>
      </c>
      <c r="C88">
        <v>0.18472532833232699</v>
      </c>
      <c r="D88">
        <v>0.60971772811245895</v>
      </c>
      <c r="E88">
        <f t="shared" si="16"/>
        <v>0.78084424062194313</v>
      </c>
      <c r="F88">
        <v>55822.462859261803</v>
      </c>
      <c r="G88">
        <v>1.7622323000105</v>
      </c>
      <c r="H88">
        <v>74713.084359933593</v>
      </c>
      <c r="I88">
        <f t="shared" si="17"/>
        <v>1.3384053754184646</v>
      </c>
      <c r="J88">
        <v>0.341413900023326</v>
      </c>
      <c r="K88">
        <v>477516.47866895399</v>
      </c>
      <c r="L88" t="s">
        <v>44</v>
      </c>
      <c r="M88">
        <v>0</v>
      </c>
      <c r="N88">
        <v>28</v>
      </c>
      <c r="O88">
        <f t="shared" si="18"/>
        <v>0.10943396226415095</v>
      </c>
      <c r="P88">
        <v>80033.042700794002</v>
      </c>
      <c r="Q88">
        <f t="shared" si="19"/>
        <v>1.4337067660839564</v>
      </c>
      <c r="R88">
        <v>1.7622323000105</v>
      </c>
      <c r="S88">
        <v>153</v>
      </c>
      <c r="T88">
        <f t="shared" si="20"/>
        <v>0.5811320754716981</v>
      </c>
      <c r="U88">
        <v>73500.133682050495</v>
      </c>
      <c r="V88">
        <f t="shared" si="21"/>
        <v>1.3166766551908897</v>
      </c>
      <c r="W88">
        <v>0.49579209997318602</v>
      </c>
      <c r="X88" t="str">
        <f>IF(H88=MIN(H88,P88,U88),"Christofides",IF(P88=MIN(H88,P88,U88),"Arithmetic Series","Nearest Neighbor"))</f>
        <v>Nearest Neighbor</v>
      </c>
      <c r="Y88">
        <f t="shared" si="22"/>
        <v>73500.133682050495</v>
      </c>
      <c r="Z88">
        <f t="shared" si="23"/>
        <v>1.3166766551908897</v>
      </c>
      <c r="AA88">
        <v>3987</v>
      </c>
      <c r="AB88">
        <v>4232</v>
      </c>
      <c r="AC88">
        <f t="shared" si="24"/>
        <v>0.94210775047258977</v>
      </c>
      <c r="AD88">
        <v>0</v>
      </c>
      <c r="AE88">
        <v>73482.638384578197</v>
      </c>
      <c r="AF88">
        <v>167</v>
      </c>
      <c r="AG88">
        <f t="shared" si="25"/>
        <v>3.9461247637051042E-2</v>
      </c>
      <c r="AH88" s="1">
        <v>4.3655745685100497E-11</v>
      </c>
      <c r="AI88" s="4">
        <v>72319.7584574785</v>
      </c>
      <c r="AJ88" s="4">
        <v>1405</v>
      </c>
      <c r="AK88" s="4">
        <f t="shared" si="26"/>
        <v>0.33199432892249525</v>
      </c>
      <c r="AL88">
        <v>71840.423132168697</v>
      </c>
      <c r="AM88">
        <f t="shared" si="27"/>
        <v>1.2869447074252345</v>
      </c>
      <c r="AN88">
        <v>0.46594360005110502</v>
      </c>
      <c r="AO88">
        <v>7</v>
      </c>
      <c r="AP88">
        <f t="shared" si="28"/>
        <v>0.7</v>
      </c>
      <c r="AQ88">
        <v>70678.441949807195</v>
      </c>
      <c r="AR88">
        <f t="shared" si="29"/>
        <v>1.2661290514537116</v>
      </c>
      <c r="AS88">
        <v>15.8439128000172</v>
      </c>
      <c r="AT88">
        <v>19</v>
      </c>
      <c r="AU88">
        <f t="shared" si="30"/>
        <v>0.19</v>
      </c>
      <c r="AV88">
        <v>73364.054758264203</v>
      </c>
      <c r="AW88">
        <f t="shared" si="31"/>
        <v>1.3142389461251078</v>
      </c>
      <c r="AX88">
        <v>11.172221000015201</v>
      </c>
      <c r="AY88" t="str">
        <f>IF(AL88=MIN(AL88,AQ88,AV88),"Simulated Annealing",IF(AQ88=MIN(AL88,AQ88,AV88),"Ant Colony Optimization","Genetic Algorithm"))</f>
        <v>Ant Colony Optimization</v>
      </c>
      <c r="AZ88">
        <f>MIN(AL88,AQ88,AV88)</f>
        <v>70678.441949807195</v>
      </c>
      <c r="BA88">
        <f>AZ88/F88</f>
        <v>1.2661290514537116</v>
      </c>
      <c r="BB88">
        <v>64947.490005874497</v>
      </c>
      <c r="BC88">
        <f>BB88/F88</f>
        <v>1.1634651478853322</v>
      </c>
      <c r="BD88">
        <v>0.112</v>
      </c>
      <c r="BE88">
        <v>5</v>
      </c>
      <c r="BF88">
        <v>5</v>
      </c>
    </row>
    <row r="89" spans="1:58" x14ac:dyDescent="0.3">
      <c r="A89">
        <v>88</v>
      </c>
      <c r="B89">
        <v>275</v>
      </c>
      <c r="C89">
        <v>0.17515689794873401</v>
      </c>
      <c r="D89">
        <v>0.69184504595249097</v>
      </c>
      <c r="E89">
        <f t="shared" si="16"/>
        <v>0.831772232015767</v>
      </c>
      <c r="F89">
        <v>56835.783933647501</v>
      </c>
      <c r="G89">
        <v>2.0576492000254798</v>
      </c>
      <c r="H89">
        <v>75270.015535526007</v>
      </c>
      <c r="I89">
        <f t="shared" si="17"/>
        <v>1.3243419959404343</v>
      </c>
      <c r="J89">
        <v>0.41148539999266998</v>
      </c>
      <c r="K89">
        <v>518340.07306316</v>
      </c>
      <c r="L89" t="s">
        <v>44</v>
      </c>
      <c r="M89">
        <v>0</v>
      </c>
      <c r="N89">
        <v>200</v>
      </c>
      <c r="O89">
        <f t="shared" si="18"/>
        <v>0.73090909090909095</v>
      </c>
      <c r="P89">
        <v>79608.547148281199</v>
      </c>
      <c r="Q89">
        <f t="shared" si="19"/>
        <v>1.4006765041055753</v>
      </c>
      <c r="R89">
        <v>2.0576492000254798</v>
      </c>
      <c r="S89">
        <v>53</v>
      </c>
      <c r="T89">
        <f t="shared" si="20"/>
        <v>0.19636363636363635</v>
      </c>
      <c r="U89">
        <v>75337.715540281206</v>
      </c>
      <c r="V89">
        <f t="shared" si="21"/>
        <v>1.3255331470088219</v>
      </c>
      <c r="W89">
        <v>0.57863649999489997</v>
      </c>
      <c r="X89" t="str">
        <f>IF(H89=MIN(H89,P89,U89),"Christofides",IF(P89=MIN(H89,P89,U89),"Arithmetic Series","Nearest Neighbor"))</f>
        <v>Christofides</v>
      </c>
      <c r="Y89">
        <f t="shared" si="22"/>
        <v>75270.015535526007</v>
      </c>
      <c r="Z89">
        <f t="shared" si="23"/>
        <v>1.3243419959404343</v>
      </c>
      <c r="AA89">
        <v>3733</v>
      </c>
      <c r="AB89">
        <v>4236</v>
      </c>
      <c r="AC89">
        <f t="shared" si="24"/>
        <v>0.88125590179414537</v>
      </c>
      <c r="AD89">
        <v>0</v>
      </c>
      <c r="AE89">
        <v>75270.015535526007</v>
      </c>
      <c r="AF89">
        <v>77</v>
      </c>
      <c r="AG89">
        <f t="shared" si="25"/>
        <v>1.817752596789424E-2</v>
      </c>
      <c r="AH89" s="1">
        <v>1.16415321826934E-10</v>
      </c>
      <c r="AI89" s="4">
        <v>74608.267427258994</v>
      </c>
      <c r="AJ89" s="4">
        <v>3105</v>
      </c>
      <c r="AK89" s="4">
        <f t="shared" si="26"/>
        <v>0.73300283286118983</v>
      </c>
      <c r="AL89">
        <v>74434.320759791706</v>
      </c>
      <c r="AM89">
        <f t="shared" si="27"/>
        <v>1.3096383230446769</v>
      </c>
      <c r="AN89">
        <v>0.48587859998224298</v>
      </c>
      <c r="AO89">
        <v>7</v>
      </c>
      <c r="AP89">
        <f t="shared" si="28"/>
        <v>0.7</v>
      </c>
      <c r="AQ89">
        <v>72623.845938974104</v>
      </c>
      <c r="AR89">
        <f t="shared" si="29"/>
        <v>1.2777838346306309</v>
      </c>
      <c r="AS89">
        <v>17.7211607999634</v>
      </c>
      <c r="AT89">
        <v>89</v>
      </c>
      <c r="AU89">
        <f t="shared" si="30"/>
        <v>0.89</v>
      </c>
      <c r="AV89">
        <v>75147.713297011403</v>
      </c>
      <c r="AW89">
        <f t="shared" si="31"/>
        <v>1.3221901431806065</v>
      </c>
      <c r="AX89">
        <v>12.3331248000031</v>
      </c>
      <c r="AY89" t="str">
        <f>IF(AL89=MIN(AL89,AQ89,AV89),"Simulated Annealing",IF(AQ89=MIN(AL89,AQ89,AV89),"Ant Colony Optimization","Genetic Algorithm"))</f>
        <v>Ant Colony Optimization</v>
      </c>
      <c r="AZ89">
        <f>MIN(AL89,AQ89,AV89)</f>
        <v>72623.845938974104</v>
      </c>
      <c r="BA89">
        <f>AZ89/F89</f>
        <v>1.2777838346306309</v>
      </c>
      <c r="BB89">
        <v>66068.092335493304</v>
      </c>
      <c r="BC89">
        <f>BB89/F89</f>
        <v>1.1624383049352145</v>
      </c>
      <c r="BD89">
        <v>0.112</v>
      </c>
      <c r="BE89">
        <v>5</v>
      </c>
      <c r="BF89">
        <v>5</v>
      </c>
    </row>
    <row r="90" spans="1:58" x14ac:dyDescent="0.3">
      <c r="A90">
        <v>89</v>
      </c>
      <c r="B90">
        <v>285</v>
      </c>
      <c r="C90">
        <v>0.161642231973644</v>
      </c>
      <c r="D90">
        <v>0.48127104740231602</v>
      </c>
      <c r="E90">
        <f t="shared" si="16"/>
        <v>0.69373701602431159</v>
      </c>
      <c r="F90">
        <v>55752.923744865402</v>
      </c>
      <c r="G90">
        <v>2.25570849998621</v>
      </c>
      <c r="H90">
        <v>72672.148348504401</v>
      </c>
      <c r="I90">
        <f t="shared" si="17"/>
        <v>1.3034679343645577</v>
      </c>
      <c r="J90">
        <v>0.42060760001186198</v>
      </c>
      <c r="K90">
        <v>560973.34308218397</v>
      </c>
      <c r="L90" t="s">
        <v>44</v>
      </c>
      <c r="M90">
        <v>0</v>
      </c>
      <c r="N90">
        <v>232</v>
      </c>
      <c r="O90">
        <f t="shared" si="18"/>
        <v>0.81754385964912279</v>
      </c>
      <c r="P90">
        <v>80862.433995304105</v>
      </c>
      <c r="Q90">
        <f t="shared" si="19"/>
        <v>1.4503711834978192</v>
      </c>
      <c r="R90">
        <v>2.25570849998621</v>
      </c>
      <c r="S90">
        <v>69</v>
      </c>
      <c r="T90">
        <f t="shared" si="20"/>
        <v>0.24561403508771928</v>
      </c>
      <c r="U90">
        <v>77483.066170944701</v>
      </c>
      <c r="V90">
        <f t="shared" si="21"/>
        <v>1.3897578990748543</v>
      </c>
      <c r="W90">
        <v>0.62069339997833595</v>
      </c>
      <c r="X90" t="str">
        <f>IF(H90=MIN(H90,P90,U90),"Christofides",IF(P90=MIN(H90,P90,U90),"Arithmetic Series","Nearest Neighbor"))</f>
        <v>Christofides</v>
      </c>
      <c r="Y90">
        <f t="shared" si="22"/>
        <v>72672.148348504401</v>
      </c>
      <c r="Z90">
        <f t="shared" si="23"/>
        <v>1.3034679343645577</v>
      </c>
      <c r="AA90">
        <v>3510</v>
      </c>
      <c r="AB90">
        <v>4239</v>
      </c>
      <c r="AC90">
        <f t="shared" si="24"/>
        <v>0.82802547770700641</v>
      </c>
      <c r="AD90">
        <v>0</v>
      </c>
      <c r="AE90">
        <v>72531.256133492498</v>
      </c>
      <c r="AF90">
        <v>1177</v>
      </c>
      <c r="AG90">
        <f t="shared" si="25"/>
        <v>0.27765982543052609</v>
      </c>
      <c r="AH90" s="1">
        <v>7.2759576141834194E-11</v>
      </c>
      <c r="AI90" s="4">
        <v>72441.872758270707</v>
      </c>
      <c r="AJ90" s="4">
        <v>2186</v>
      </c>
      <c r="AK90" s="4">
        <f t="shared" si="26"/>
        <v>0.51568766218447748</v>
      </c>
      <c r="AL90">
        <v>72426.999820283003</v>
      </c>
      <c r="AM90">
        <f t="shared" si="27"/>
        <v>1.2990708819455088</v>
      </c>
      <c r="AN90">
        <v>0.50678519997745697</v>
      </c>
      <c r="AO90">
        <v>0</v>
      </c>
      <c r="AP90">
        <f t="shared" si="28"/>
        <v>0</v>
      </c>
      <c r="AQ90">
        <v>72672.148348504401</v>
      </c>
      <c r="AR90">
        <f t="shared" si="29"/>
        <v>1.3034679343645577</v>
      </c>
      <c r="AS90">
        <v>19.329385099990699</v>
      </c>
      <c r="AT90">
        <v>73</v>
      </c>
      <c r="AU90">
        <f t="shared" si="30"/>
        <v>0.73</v>
      </c>
      <c r="AV90">
        <v>72606.076031830104</v>
      </c>
      <c r="AW90">
        <f t="shared" si="31"/>
        <v>1.3022828428530047</v>
      </c>
      <c r="AX90">
        <v>13.8445527000003</v>
      </c>
      <c r="AY90" t="str">
        <f>IF(AL90=MIN(AL90,AQ90,AV90),"Simulated Annealing",IF(AQ90=MIN(AL90,AQ90,AV90),"Ant Colony Optimization","Genetic Algorithm"))</f>
        <v>Simulated Annealing</v>
      </c>
      <c r="AZ90">
        <f>MIN(AL90,AQ90,AV90)</f>
        <v>72426.999820283003</v>
      </c>
      <c r="BA90">
        <f>AZ90/F90</f>
        <v>1.2990708819455088</v>
      </c>
      <c r="BB90">
        <v>65700.565822382094</v>
      </c>
      <c r="BC90">
        <f>BB90/F90</f>
        <v>1.1784236845235014</v>
      </c>
      <c r="BD90">
        <v>0.112</v>
      </c>
      <c r="BE90">
        <v>5</v>
      </c>
      <c r="BF90">
        <v>5</v>
      </c>
    </row>
    <row r="91" spans="1:58" x14ac:dyDescent="0.3">
      <c r="A91">
        <v>90</v>
      </c>
      <c r="B91">
        <v>295</v>
      </c>
      <c r="C91">
        <v>0.15732889893537899</v>
      </c>
      <c r="D91">
        <v>0.41414484247023903</v>
      </c>
      <c r="E91">
        <f t="shared" si="16"/>
        <v>0.64354086309281011</v>
      </c>
      <c r="F91">
        <v>59969.0376204391</v>
      </c>
      <c r="G91">
        <v>2.5029753000126198</v>
      </c>
      <c r="H91">
        <v>80383.014239129596</v>
      </c>
      <c r="I91">
        <f t="shared" si="17"/>
        <v>1.3404086079869464</v>
      </c>
      <c r="J91">
        <v>0.45199279999360398</v>
      </c>
      <c r="K91">
        <v>605427.61337249202</v>
      </c>
      <c r="L91" t="s">
        <v>44</v>
      </c>
      <c r="M91" t="s">
        <v>37</v>
      </c>
      <c r="N91">
        <v>232</v>
      </c>
      <c r="O91">
        <f t="shared" si="18"/>
        <v>0.78983050847457625</v>
      </c>
      <c r="P91">
        <v>89477.997386477102</v>
      </c>
      <c r="Q91">
        <f t="shared" si="19"/>
        <v>1.4920699236964332</v>
      </c>
      <c r="R91">
        <v>2.5029753000126198</v>
      </c>
      <c r="S91">
        <v>190</v>
      </c>
      <c r="T91">
        <f t="shared" si="20"/>
        <v>0.64745762711864407</v>
      </c>
      <c r="U91">
        <v>79746.251736541904</v>
      </c>
      <c r="V91">
        <f t="shared" si="21"/>
        <v>1.3297904202044788</v>
      </c>
      <c r="W91">
        <v>0.70543689996702597</v>
      </c>
      <c r="X91" t="str">
        <f>IF(H91=MIN(H91,P91,U91),"Christofides",IF(P91=MIN(H91,P91,U91),"Arithmetic Series","Nearest Neighbor"))</f>
        <v>Nearest Neighbor</v>
      </c>
      <c r="Y91">
        <f t="shared" si="22"/>
        <v>79746.251736541904</v>
      </c>
      <c r="Z91">
        <f t="shared" si="23"/>
        <v>1.3297904202044788</v>
      </c>
      <c r="AA91">
        <v>3235</v>
      </c>
      <c r="AB91">
        <v>4243</v>
      </c>
      <c r="AC91">
        <f t="shared" si="24"/>
        <v>0.76243224133867549</v>
      </c>
      <c r="AD91">
        <v>0</v>
      </c>
      <c r="AE91">
        <v>79746.251736542006</v>
      </c>
      <c r="AF91">
        <v>28</v>
      </c>
      <c r="AG91">
        <f t="shared" si="25"/>
        <v>6.5991044072590144E-3</v>
      </c>
      <c r="AH91" s="1">
        <v>7.2759576141834194E-11</v>
      </c>
      <c r="AI91" s="4">
        <v>78360.7975403538</v>
      </c>
      <c r="AJ91" s="4">
        <v>1075</v>
      </c>
      <c r="AK91" s="4">
        <f t="shared" si="26"/>
        <v>0.25335847277869433</v>
      </c>
      <c r="AL91">
        <v>77756.494708950398</v>
      </c>
      <c r="AM91">
        <f t="shared" si="27"/>
        <v>1.2966106810166458</v>
      </c>
      <c r="AN91">
        <v>0.53049249999457904</v>
      </c>
      <c r="AO91">
        <v>4</v>
      </c>
      <c r="AP91">
        <f t="shared" si="28"/>
        <v>0.4</v>
      </c>
      <c r="AQ91">
        <v>78770.930502225194</v>
      </c>
      <c r="AR91">
        <f t="shared" si="29"/>
        <v>1.3135266735609226</v>
      </c>
      <c r="AS91">
        <v>20.9771745000034</v>
      </c>
      <c r="AT91">
        <v>24</v>
      </c>
      <c r="AU91">
        <f t="shared" si="30"/>
        <v>0.24</v>
      </c>
      <c r="AV91">
        <v>79696.683973355699</v>
      </c>
      <c r="AW91">
        <f t="shared" si="31"/>
        <v>1.3289638642824055</v>
      </c>
      <c r="AX91">
        <v>15.400965599983399</v>
      </c>
      <c r="AY91" t="str">
        <f>IF(AL91=MIN(AL91,AQ91,AV91),"Simulated Annealing",IF(AQ91=MIN(AL91,AQ91,AV91),"Ant Colony Optimization","Genetic Algorithm"))</f>
        <v>Simulated Annealing</v>
      </c>
      <c r="AZ91">
        <f>MIN(AL91,AQ91,AV91)</f>
        <v>77756.494708950398</v>
      </c>
      <c r="BA91">
        <f>AZ91/F91</f>
        <v>1.2966106810166458</v>
      </c>
      <c r="BB91">
        <v>69887.265612683797</v>
      </c>
      <c r="BC91">
        <f>BB91/F91</f>
        <v>1.1653891472299414</v>
      </c>
      <c r="BD91">
        <v>0.112</v>
      </c>
      <c r="BE91">
        <v>5</v>
      </c>
      <c r="BF91">
        <v>5.0179999999999998</v>
      </c>
    </row>
    <row r="92" spans="1:58" x14ac:dyDescent="0.3">
      <c r="A92">
        <v>91</v>
      </c>
      <c r="B92">
        <v>305</v>
      </c>
      <c r="C92">
        <v>0.14325585889824299</v>
      </c>
      <c r="D92">
        <v>0.52582474646965205</v>
      </c>
      <c r="E92">
        <f t="shared" si="16"/>
        <v>0.72513774310102774</v>
      </c>
      <c r="F92">
        <v>57838.353585030498</v>
      </c>
      <c r="G92">
        <v>3.0905022000078999</v>
      </c>
      <c r="H92">
        <v>76603.128079211107</v>
      </c>
      <c r="I92">
        <f t="shared" si="17"/>
        <v>1.3244347968272256</v>
      </c>
      <c r="J92">
        <v>0.50719720002962199</v>
      </c>
      <c r="K92">
        <v>651710.29862374603</v>
      </c>
      <c r="L92" t="s">
        <v>44</v>
      </c>
      <c r="M92" t="s">
        <v>37</v>
      </c>
      <c r="N92">
        <v>207</v>
      </c>
      <c r="O92">
        <f t="shared" si="18"/>
        <v>0.68196721311475406</v>
      </c>
      <c r="P92">
        <v>78346.478447389105</v>
      </c>
      <c r="Q92">
        <f t="shared" si="19"/>
        <v>1.3545765671252863</v>
      </c>
      <c r="R92">
        <v>3.0905022000078999</v>
      </c>
      <c r="S92">
        <v>286</v>
      </c>
      <c r="T92">
        <f t="shared" si="20"/>
        <v>0.94098360655737701</v>
      </c>
      <c r="U92">
        <v>74540.2335533062</v>
      </c>
      <c r="V92">
        <f t="shared" si="21"/>
        <v>1.2887682468990338</v>
      </c>
      <c r="W92">
        <v>0.90819159999955401</v>
      </c>
      <c r="X92" t="str">
        <f>IF(H92=MIN(H92,P92,U92),"Christofides",IF(P92=MIN(H92,P92,U92),"Arithmetic Series","Nearest Neighbor"))</f>
        <v>Nearest Neighbor</v>
      </c>
      <c r="Y92">
        <f t="shared" si="22"/>
        <v>74540.2335533062</v>
      </c>
      <c r="Z92">
        <f t="shared" si="23"/>
        <v>1.2887682468990338</v>
      </c>
      <c r="AA92">
        <v>3444</v>
      </c>
      <c r="AB92">
        <v>4246</v>
      </c>
      <c r="AC92">
        <f t="shared" si="24"/>
        <v>0.81111634479510131</v>
      </c>
      <c r="AD92">
        <v>0</v>
      </c>
      <c r="AE92">
        <v>74281.171741156999</v>
      </c>
      <c r="AF92">
        <v>677</v>
      </c>
      <c r="AG92">
        <f t="shared" si="25"/>
        <v>0.15944418276024494</v>
      </c>
      <c r="AH92" s="1">
        <v>2.91038304567337E-11</v>
      </c>
      <c r="AI92" s="4">
        <v>74281.171741156999</v>
      </c>
      <c r="AJ92" s="4">
        <v>677</v>
      </c>
      <c r="AK92" s="4">
        <f t="shared" si="26"/>
        <v>0.15944418276024494</v>
      </c>
      <c r="AL92">
        <v>73615.677389636796</v>
      </c>
      <c r="AM92">
        <f t="shared" si="27"/>
        <v>1.2727830725923313</v>
      </c>
      <c r="AN92">
        <v>0.65027949999784995</v>
      </c>
      <c r="AO92">
        <v>0</v>
      </c>
      <c r="AP92">
        <f t="shared" si="28"/>
        <v>0</v>
      </c>
      <c r="AQ92">
        <v>74540.2335533062</v>
      </c>
      <c r="AR92">
        <f t="shared" si="29"/>
        <v>1.2887682468990338</v>
      </c>
      <c r="AS92">
        <v>23.702953000029002</v>
      </c>
      <c r="AT92">
        <v>75</v>
      </c>
      <c r="AU92">
        <f t="shared" si="30"/>
        <v>0.75</v>
      </c>
      <c r="AV92">
        <v>74328.279348667304</v>
      </c>
      <c r="AW92">
        <f t="shared" si="31"/>
        <v>1.285103650804899</v>
      </c>
      <c r="AX92">
        <v>16.899458799976799</v>
      </c>
      <c r="AY92" t="str">
        <f>IF(AL92=MIN(AL92,AQ92,AV92),"Simulated Annealing",IF(AQ92=MIN(AL92,AQ92,AV92),"Ant Colony Optimization","Genetic Algorithm"))</f>
        <v>Simulated Annealing</v>
      </c>
      <c r="AZ92">
        <f>MIN(AL92,AQ92,AV92)</f>
        <v>73615.677389636796</v>
      </c>
      <c r="BA92">
        <f>AZ92/F92</f>
        <v>1.2727830725923313</v>
      </c>
      <c r="BB92">
        <v>67890.730022415199</v>
      </c>
      <c r="BC92">
        <f>BB92/F92</f>
        <v>1.1738012203719854</v>
      </c>
      <c r="BD92">
        <v>0.112</v>
      </c>
      <c r="BE92">
        <v>5</v>
      </c>
      <c r="BF92">
        <v>5</v>
      </c>
    </row>
    <row r="93" spans="1:58" x14ac:dyDescent="0.3">
      <c r="A93">
        <v>92</v>
      </c>
      <c r="B93">
        <v>315</v>
      </c>
      <c r="C93">
        <v>0.13621906026893699</v>
      </c>
      <c r="D93">
        <v>0.53768759648783604</v>
      </c>
      <c r="E93">
        <f t="shared" si="16"/>
        <v>0.73327184351223795</v>
      </c>
      <c r="F93">
        <v>60727.036496130597</v>
      </c>
      <c r="G93">
        <v>3.0381774000125001</v>
      </c>
      <c r="H93">
        <v>77619.481113958696</v>
      </c>
      <c r="I93">
        <f t="shared" si="17"/>
        <v>1.2781700802887763</v>
      </c>
      <c r="J93">
        <v>0.53402950003510297</v>
      </c>
      <c r="K93">
        <v>699829.96772231604</v>
      </c>
      <c r="L93" t="s">
        <v>44</v>
      </c>
      <c r="M93">
        <v>0</v>
      </c>
      <c r="N93">
        <v>231</v>
      </c>
      <c r="O93">
        <f t="shared" si="18"/>
        <v>0.73650793650793656</v>
      </c>
      <c r="P93">
        <v>85746.732633237902</v>
      </c>
      <c r="Q93">
        <f t="shared" si="19"/>
        <v>1.4120025869976631</v>
      </c>
      <c r="R93">
        <v>3.0381774000125001</v>
      </c>
      <c r="S93">
        <v>207</v>
      </c>
      <c r="T93">
        <f t="shared" si="20"/>
        <v>0.6603174603174603</v>
      </c>
      <c r="U93">
        <v>82911.8401281322</v>
      </c>
      <c r="V93">
        <f t="shared" si="21"/>
        <v>1.3653200437899711</v>
      </c>
      <c r="W93">
        <v>0.93591950001427904</v>
      </c>
      <c r="X93" t="str">
        <f>IF(H93=MIN(H93,P93,U93),"Christofides",IF(P93=MIN(H93,P93,U93),"Arithmetic Series","Nearest Neighbor"))</f>
        <v>Christofides</v>
      </c>
      <c r="Y93">
        <f t="shared" si="22"/>
        <v>77619.481113958696</v>
      </c>
      <c r="Z93">
        <f t="shared" si="23"/>
        <v>1.2781700802887763</v>
      </c>
      <c r="AA93">
        <v>4231</v>
      </c>
      <c r="AB93">
        <v>4249</v>
      </c>
      <c r="AC93">
        <f t="shared" si="24"/>
        <v>0.99576370910802536</v>
      </c>
      <c r="AD93">
        <v>0</v>
      </c>
      <c r="AE93">
        <v>77619.481113958798</v>
      </c>
      <c r="AF93">
        <v>3</v>
      </c>
      <c r="AG93">
        <f t="shared" si="25"/>
        <v>7.0604848199576375E-4</v>
      </c>
      <c r="AH93" s="1">
        <v>1.0186340659856701E-10</v>
      </c>
      <c r="AI93" s="4">
        <v>77379.635168102701</v>
      </c>
      <c r="AJ93" s="4">
        <v>1127</v>
      </c>
      <c r="AK93" s="4">
        <f t="shared" si="26"/>
        <v>0.26523887973640858</v>
      </c>
      <c r="AL93">
        <v>76477.3607964283</v>
      </c>
      <c r="AM93">
        <f t="shared" si="27"/>
        <v>1.2593626366289301</v>
      </c>
      <c r="AN93">
        <v>0.57669489999534496</v>
      </c>
      <c r="AO93">
        <v>1</v>
      </c>
      <c r="AP93">
        <f t="shared" si="28"/>
        <v>0.1</v>
      </c>
      <c r="AQ93">
        <v>77619.481113958696</v>
      </c>
      <c r="AR93">
        <f t="shared" si="29"/>
        <v>1.2781700802887763</v>
      </c>
      <c r="AS93">
        <v>25.431033800006801</v>
      </c>
      <c r="AT93">
        <v>89</v>
      </c>
      <c r="AU93">
        <f t="shared" si="30"/>
        <v>0.89</v>
      </c>
      <c r="AV93">
        <v>77125.745220604003</v>
      </c>
      <c r="AW93">
        <f t="shared" si="31"/>
        <v>1.270039667183797</v>
      </c>
      <c r="AX93">
        <v>19.112921299994898</v>
      </c>
      <c r="AY93" t="str">
        <f>IF(AL93=MIN(AL93,AQ93,AV93),"Simulated Annealing",IF(AQ93=MIN(AL93,AQ93,AV93),"Ant Colony Optimization","Genetic Algorithm"))</f>
        <v>Simulated Annealing</v>
      </c>
      <c r="AZ93">
        <f>MIN(AL93,AQ93,AV93)</f>
        <v>76477.3607964283</v>
      </c>
      <c r="BA93">
        <f>AZ93/F93</f>
        <v>1.2593626366289301</v>
      </c>
      <c r="BB93">
        <v>72303.694637055902</v>
      </c>
      <c r="BC93">
        <f>BB93/F93</f>
        <v>1.190634333714983</v>
      </c>
      <c r="BD93">
        <v>0.112</v>
      </c>
      <c r="BE93">
        <v>5</v>
      </c>
      <c r="BF93">
        <v>5.0110000000000001</v>
      </c>
    </row>
    <row r="94" spans="1:58" x14ac:dyDescent="0.3">
      <c r="A94">
        <v>93</v>
      </c>
      <c r="B94">
        <v>325</v>
      </c>
      <c r="C94">
        <v>0.128004507384542</v>
      </c>
      <c r="D94">
        <v>0.78419803882679395</v>
      </c>
      <c r="E94">
        <f t="shared" si="16"/>
        <v>0.88554956881407487</v>
      </c>
      <c r="F94">
        <v>59930.086816197203</v>
      </c>
      <c r="G94">
        <v>3.4738684999756502</v>
      </c>
      <c r="H94">
        <v>83171.769172168293</v>
      </c>
      <c r="I94">
        <f t="shared" si="17"/>
        <v>1.3878132602619491</v>
      </c>
      <c r="J94">
        <v>0.59156470000743799</v>
      </c>
      <c r="K94">
        <v>749797.02088434098</v>
      </c>
      <c r="L94" t="s">
        <v>44</v>
      </c>
      <c r="M94">
        <v>0</v>
      </c>
      <c r="N94">
        <v>312</v>
      </c>
      <c r="O94">
        <f t="shared" si="18"/>
        <v>0.96307692307692305</v>
      </c>
      <c r="P94">
        <v>87183.212887400907</v>
      </c>
      <c r="Q94">
        <f t="shared" si="19"/>
        <v>1.4547486499525317</v>
      </c>
      <c r="R94">
        <v>3.4738684999756502</v>
      </c>
      <c r="S94">
        <v>210</v>
      </c>
      <c r="T94">
        <f t="shared" si="20"/>
        <v>0.64923076923076928</v>
      </c>
      <c r="U94">
        <v>79933.096999681598</v>
      </c>
      <c r="V94">
        <f t="shared" si="21"/>
        <v>1.333772421268681</v>
      </c>
      <c r="W94">
        <v>0.92719240003498204</v>
      </c>
      <c r="X94" t="str">
        <f>IF(H94=MIN(H94,P94,U94),"Christofides",IF(P94=MIN(H94,P94,U94),"Arithmetic Series","Nearest Neighbor"))</f>
        <v>Nearest Neighbor</v>
      </c>
      <c r="Y94">
        <f t="shared" si="22"/>
        <v>79933.096999681598</v>
      </c>
      <c r="Z94">
        <f t="shared" si="23"/>
        <v>1.333772421268681</v>
      </c>
      <c r="AA94">
        <v>2511</v>
      </c>
      <c r="AB94">
        <v>4252</v>
      </c>
      <c r="AC94">
        <f t="shared" si="24"/>
        <v>0.59054562558795864</v>
      </c>
      <c r="AD94">
        <v>0</v>
      </c>
      <c r="AE94">
        <v>79933.096999681598</v>
      </c>
      <c r="AF94">
        <v>352</v>
      </c>
      <c r="AG94">
        <f t="shared" si="25"/>
        <v>8.2784571966133591E-2</v>
      </c>
      <c r="AH94" s="1">
        <v>1.45519152283668E-11</v>
      </c>
      <c r="AI94" s="4">
        <v>79933.096999681598</v>
      </c>
      <c r="AJ94" s="4">
        <v>352</v>
      </c>
      <c r="AK94" s="4">
        <f t="shared" si="26"/>
        <v>8.2784571966133591E-2</v>
      </c>
      <c r="AL94">
        <v>79339.936907091003</v>
      </c>
      <c r="AM94">
        <f t="shared" si="27"/>
        <v>1.3238748869232062</v>
      </c>
      <c r="AN94">
        <v>0.57641859998693601</v>
      </c>
      <c r="AO94">
        <v>9</v>
      </c>
      <c r="AP94">
        <f t="shared" si="28"/>
        <v>0.9</v>
      </c>
      <c r="AQ94">
        <v>78918.060708018005</v>
      </c>
      <c r="AR94">
        <f t="shared" si="29"/>
        <v>1.3168354144063905</v>
      </c>
      <c r="AS94">
        <v>30.071426999987999</v>
      </c>
      <c r="AT94">
        <v>3</v>
      </c>
      <c r="AU94">
        <f t="shared" si="30"/>
        <v>0.03</v>
      </c>
      <c r="AV94">
        <v>79786.800952764403</v>
      </c>
      <c r="AW94">
        <f t="shared" si="31"/>
        <v>1.3313313093883348</v>
      </c>
      <c r="AX94">
        <v>20.627092299982898</v>
      </c>
      <c r="AY94" t="str">
        <f>IF(AL94=MIN(AL94,AQ94,AV94),"Simulated Annealing",IF(AQ94=MIN(AL94,AQ94,AV94),"Ant Colony Optimization","Genetic Algorithm"))</f>
        <v>Ant Colony Optimization</v>
      </c>
      <c r="AZ94">
        <f>MIN(AL94,AQ94,AV94)</f>
        <v>78918.060708018005</v>
      </c>
      <c r="BA94">
        <f>AZ94/F94</f>
        <v>1.3168354144063905</v>
      </c>
      <c r="BB94">
        <v>70436.376758286293</v>
      </c>
      <c r="BC94">
        <f>BB94/F94</f>
        <v>1.1753091059973164</v>
      </c>
      <c r="BD94">
        <v>0.112</v>
      </c>
      <c r="BE94">
        <v>5</v>
      </c>
      <c r="BF94">
        <v>5</v>
      </c>
    </row>
    <row r="95" spans="1:58" x14ac:dyDescent="0.3">
      <c r="A95">
        <v>94</v>
      </c>
      <c r="B95">
        <v>335</v>
      </c>
      <c r="C95">
        <v>0.122764807547873</v>
      </c>
      <c r="D95">
        <v>1.6907768589913901</v>
      </c>
      <c r="E95">
        <f t="shared" si="16"/>
        <v>1.300298757590497</v>
      </c>
      <c r="F95">
        <v>62390.176855267797</v>
      </c>
      <c r="G95">
        <v>3.6669391000177698</v>
      </c>
      <c r="H95">
        <v>84634.366796752103</v>
      </c>
      <c r="I95">
        <f t="shared" si="17"/>
        <v>1.3565335291978124</v>
      </c>
      <c r="J95">
        <v>0.61624170001596201</v>
      </c>
      <c r="K95">
        <v>801620.64278135495</v>
      </c>
      <c r="L95" t="s">
        <v>44</v>
      </c>
      <c r="M95">
        <v>0</v>
      </c>
      <c r="N95">
        <v>174</v>
      </c>
      <c r="O95">
        <f t="shared" si="18"/>
        <v>0.52238805970149249</v>
      </c>
      <c r="P95">
        <v>88886.216498648195</v>
      </c>
      <c r="Q95">
        <f t="shared" si="19"/>
        <v>1.4246828744346356</v>
      </c>
      <c r="R95">
        <v>3.6669391000177698</v>
      </c>
      <c r="S95">
        <v>10</v>
      </c>
      <c r="T95">
        <f t="shared" si="20"/>
        <v>3.2835820895522387E-2</v>
      </c>
      <c r="U95">
        <v>82564.542151779504</v>
      </c>
      <c r="V95">
        <f t="shared" si="21"/>
        <v>1.3233580398932356</v>
      </c>
      <c r="W95">
        <v>1.06243799999356</v>
      </c>
      <c r="X95" t="str">
        <f>IF(H95=MIN(H95,P95,U95),"Christofides",IF(P95=MIN(H95,P95,U95),"Arithmetic Series","Nearest Neighbor"))</f>
        <v>Nearest Neighbor</v>
      </c>
      <c r="Y95">
        <f t="shared" si="22"/>
        <v>82564.542151779504</v>
      </c>
      <c r="Z95">
        <f t="shared" si="23"/>
        <v>1.3233580398932356</v>
      </c>
      <c r="AA95">
        <v>3853</v>
      </c>
      <c r="AB95">
        <v>4255</v>
      </c>
      <c r="AC95">
        <f t="shared" si="24"/>
        <v>0.90552291421856634</v>
      </c>
      <c r="AD95">
        <v>0</v>
      </c>
      <c r="AE95">
        <v>82434.594170508499</v>
      </c>
      <c r="AF95">
        <v>131</v>
      </c>
      <c r="AG95">
        <f t="shared" si="25"/>
        <v>3.0787309048178613E-2</v>
      </c>
      <c r="AH95" s="1">
        <v>7.2759576141834194E-11</v>
      </c>
      <c r="AI95" s="4">
        <v>82434.594170508499</v>
      </c>
      <c r="AJ95" s="4">
        <v>208</v>
      </c>
      <c r="AK95" s="4">
        <f t="shared" si="26"/>
        <v>4.8883666274970622E-2</v>
      </c>
      <c r="AL95">
        <v>80751.897398576504</v>
      </c>
      <c r="AM95">
        <f t="shared" si="27"/>
        <v>1.2943046721265765</v>
      </c>
      <c r="AN95">
        <v>0.60288069996749905</v>
      </c>
      <c r="AO95">
        <v>9</v>
      </c>
      <c r="AP95">
        <f t="shared" si="28"/>
        <v>0.9</v>
      </c>
      <c r="AQ95">
        <v>81950.404547895407</v>
      </c>
      <c r="AR95">
        <f t="shared" si="29"/>
        <v>1.3135145415279597</v>
      </c>
      <c r="AS95">
        <v>29.864040200016401</v>
      </c>
      <c r="AT95">
        <v>96</v>
      </c>
      <c r="AU95">
        <f t="shared" si="30"/>
        <v>0.96</v>
      </c>
      <c r="AV95">
        <v>82174.359306421597</v>
      </c>
      <c r="AW95">
        <f t="shared" si="31"/>
        <v>1.3171041251742077</v>
      </c>
      <c r="AX95">
        <v>23.1371813999721</v>
      </c>
      <c r="AY95" t="str">
        <f>IF(AL95=MIN(AL95,AQ95,AV95),"Simulated Annealing",IF(AQ95=MIN(AL95,AQ95,AV95),"Ant Colony Optimization","Genetic Algorithm"))</f>
        <v>Simulated Annealing</v>
      </c>
      <c r="AZ95">
        <f>MIN(AL95,AQ95,AV95)</f>
        <v>80751.897398576504</v>
      </c>
      <c r="BA95">
        <f>AZ95/F95</f>
        <v>1.2943046721265765</v>
      </c>
      <c r="BB95">
        <v>74467.920791945595</v>
      </c>
      <c r="BC95">
        <f>BB95/F95</f>
        <v>1.1935840631562185</v>
      </c>
      <c r="BD95">
        <v>0.112</v>
      </c>
      <c r="BE95">
        <v>5</v>
      </c>
      <c r="BF95">
        <v>5.0570000000000004</v>
      </c>
    </row>
    <row r="96" spans="1:58" x14ac:dyDescent="0.3">
      <c r="A96">
        <v>95</v>
      </c>
      <c r="B96">
        <v>345</v>
      </c>
      <c r="C96">
        <v>0.11156874062906801</v>
      </c>
      <c r="D96">
        <v>0.28654891427454399</v>
      </c>
      <c r="E96">
        <f t="shared" si="16"/>
        <v>0.53530263802315037</v>
      </c>
      <c r="F96">
        <v>62932.196714278703</v>
      </c>
      <c r="G96">
        <v>4.03448279999429</v>
      </c>
      <c r="H96">
        <v>83595.079993595005</v>
      </c>
      <c r="I96">
        <f t="shared" si="17"/>
        <v>1.3283356430910682</v>
      </c>
      <c r="J96">
        <v>0.67429200001060896</v>
      </c>
      <c r="K96">
        <v>855313.27304472297</v>
      </c>
      <c r="L96" t="s">
        <v>44</v>
      </c>
      <c r="M96">
        <v>1</v>
      </c>
      <c r="N96">
        <v>158</v>
      </c>
      <c r="O96">
        <f t="shared" si="18"/>
        <v>0.46086956521739131</v>
      </c>
      <c r="P96">
        <v>87413.429378880799</v>
      </c>
      <c r="Q96">
        <f t="shared" si="19"/>
        <v>1.3890096634597142</v>
      </c>
      <c r="R96">
        <v>4.03448279999429</v>
      </c>
      <c r="S96">
        <v>264</v>
      </c>
      <c r="T96">
        <f t="shared" si="20"/>
        <v>0.76811594202898548</v>
      </c>
      <c r="U96">
        <v>82115.613435771404</v>
      </c>
      <c r="V96">
        <f t="shared" si="21"/>
        <v>1.304826745657524</v>
      </c>
      <c r="W96">
        <v>1.15162000001873</v>
      </c>
      <c r="X96" t="str">
        <f>IF(H96=MIN(H96,P96,U96),"Christofides",IF(P96=MIN(H96,P96,U96),"Arithmetic Series","Nearest Neighbor"))</f>
        <v>Nearest Neighbor</v>
      </c>
      <c r="Y96">
        <f t="shared" si="22"/>
        <v>82115.613435771404</v>
      </c>
      <c r="Z96">
        <f t="shared" si="23"/>
        <v>1.304826745657524</v>
      </c>
      <c r="AA96">
        <v>2177</v>
      </c>
      <c r="AB96">
        <v>4258</v>
      </c>
      <c r="AC96">
        <f t="shared" si="24"/>
        <v>0.51127289807421328</v>
      </c>
      <c r="AD96">
        <v>0</v>
      </c>
      <c r="AE96">
        <v>82004.453487001898</v>
      </c>
      <c r="AF96">
        <v>485</v>
      </c>
      <c r="AG96">
        <f t="shared" si="25"/>
        <v>0.11390324095819633</v>
      </c>
      <c r="AH96" s="1">
        <v>1.45519152283668E-10</v>
      </c>
      <c r="AI96" s="4">
        <v>81980.1312247717</v>
      </c>
      <c r="AJ96" s="4">
        <v>981</v>
      </c>
      <c r="AK96" s="4">
        <f t="shared" si="26"/>
        <v>0.23038985439173321</v>
      </c>
      <c r="AL96">
        <v>81507.068042750194</v>
      </c>
      <c r="AM96">
        <f t="shared" si="27"/>
        <v>1.2951568878614566</v>
      </c>
      <c r="AN96">
        <v>0.627328300033696</v>
      </c>
      <c r="AO96">
        <v>0</v>
      </c>
      <c r="AP96">
        <f t="shared" si="28"/>
        <v>0</v>
      </c>
      <c r="AQ96">
        <v>82115.613435771404</v>
      </c>
      <c r="AR96">
        <f t="shared" si="29"/>
        <v>1.304826745657524</v>
      </c>
      <c r="AS96">
        <v>32.282088699983397</v>
      </c>
      <c r="AT96">
        <v>10</v>
      </c>
      <c r="AU96">
        <f t="shared" si="30"/>
        <v>0.1</v>
      </c>
      <c r="AV96">
        <v>82089.013475338303</v>
      </c>
      <c r="AW96">
        <f t="shared" si="31"/>
        <v>1.3044040691608831</v>
      </c>
      <c r="AX96">
        <v>25.158766800013801</v>
      </c>
      <c r="AY96" t="str">
        <f>IF(AL96=MIN(AL96,AQ96,AV96),"Simulated Annealing",IF(AQ96=MIN(AL96,AQ96,AV96),"Ant Colony Optimization","Genetic Algorithm"))</f>
        <v>Simulated Annealing</v>
      </c>
      <c r="AZ96">
        <f>MIN(AL96,AQ96,AV96)</f>
        <v>81507.068042750194</v>
      </c>
      <c r="BA96">
        <f>AZ96/F96</f>
        <v>1.2951568878614566</v>
      </c>
      <c r="BB96">
        <v>74550.503191412296</v>
      </c>
      <c r="BC96">
        <f>BB96/F96</f>
        <v>1.1846162550130324</v>
      </c>
      <c r="BD96">
        <v>0.112</v>
      </c>
      <c r="BE96">
        <v>5</v>
      </c>
      <c r="BF96">
        <v>5</v>
      </c>
    </row>
    <row r="97" spans="1:58" x14ac:dyDescent="0.3">
      <c r="A97">
        <v>96</v>
      </c>
      <c r="B97">
        <v>355</v>
      </c>
      <c r="C97">
        <v>0.106603537848622</v>
      </c>
      <c r="D97">
        <v>0.47548771738720702</v>
      </c>
      <c r="E97">
        <f t="shared" si="16"/>
        <v>0.68955617420715409</v>
      </c>
      <c r="F97">
        <v>62235.141763327301</v>
      </c>
      <c r="G97">
        <v>4.64627999998629</v>
      </c>
      <c r="H97">
        <v>84421.963184701599</v>
      </c>
      <c r="I97">
        <f t="shared" si="17"/>
        <v>1.3564998936733861</v>
      </c>
      <c r="J97">
        <v>0.72038760001305402</v>
      </c>
      <c r="K97">
        <v>910875.18825730495</v>
      </c>
      <c r="L97" t="s">
        <v>44</v>
      </c>
      <c r="M97">
        <v>0</v>
      </c>
      <c r="N97">
        <v>103</v>
      </c>
      <c r="O97">
        <f t="shared" si="18"/>
        <v>0.29295774647887324</v>
      </c>
      <c r="P97">
        <v>87750.487870796103</v>
      </c>
      <c r="Q97">
        <f t="shared" si="19"/>
        <v>1.4099829354370328</v>
      </c>
      <c r="R97">
        <v>4.64627999998629</v>
      </c>
      <c r="S97">
        <v>44</v>
      </c>
      <c r="T97">
        <f t="shared" si="20"/>
        <v>0.12676056338028169</v>
      </c>
      <c r="U97">
        <v>82973.263926414598</v>
      </c>
      <c r="V97">
        <f t="shared" si="21"/>
        <v>1.333222060326493</v>
      </c>
      <c r="W97">
        <v>1.20206749998033</v>
      </c>
      <c r="X97" t="str">
        <f>IF(H97=MIN(H97,P97,U97),"Christofides",IF(P97=MIN(H97,P97,U97),"Arithmetic Series","Nearest Neighbor"))</f>
        <v>Nearest Neighbor</v>
      </c>
      <c r="Y97">
        <f t="shared" si="22"/>
        <v>82973.263926414598</v>
      </c>
      <c r="Z97">
        <f t="shared" si="23"/>
        <v>1.333222060326493</v>
      </c>
      <c r="AA97">
        <v>4238</v>
      </c>
      <c r="AB97">
        <v>4261</v>
      </c>
      <c r="AC97">
        <f t="shared" si="24"/>
        <v>0.99460220605491667</v>
      </c>
      <c r="AD97">
        <v>0</v>
      </c>
      <c r="AE97">
        <v>82166.157135712594</v>
      </c>
      <c r="AF97">
        <v>2901</v>
      </c>
      <c r="AG97">
        <f t="shared" si="25"/>
        <v>0.68082609716029097</v>
      </c>
      <c r="AH97" s="1">
        <v>2.91038304567337E-11</v>
      </c>
      <c r="AI97" s="4">
        <v>82166.157135712594</v>
      </c>
      <c r="AJ97" s="4">
        <v>2901</v>
      </c>
      <c r="AK97" s="4">
        <f t="shared" si="26"/>
        <v>0.68082609716029097</v>
      </c>
      <c r="AL97">
        <v>81845.627808892605</v>
      </c>
      <c r="AM97">
        <f t="shared" si="27"/>
        <v>1.3151030991484136</v>
      </c>
      <c r="AN97">
        <v>0.62099689996102803</v>
      </c>
      <c r="AO97">
        <v>3</v>
      </c>
      <c r="AP97">
        <f t="shared" si="28"/>
        <v>0.3</v>
      </c>
      <c r="AQ97">
        <v>81377.508360169406</v>
      </c>
      <c r="AR97">
        <f t="shared" si="29"/>
        <v>1.3075813126551266</v>
      </c>
      <c r="AS97">
        <v>34.775159999960998</v>
      </c>
      <c r="AT97">
        <v>81</v>
      </c>
      <c r="AU97">
        <f t="shared" si="30"/>
        <v>0.81</v>
      </c>
      <c r="AV97">
        <v>82357.605604701501</v>
      </c>
      <c r="AW97">
        <f t="shared" si="31"/>
        <v>1.3233296056092791</v>
      </c>
      <c r="AX97">
        <v>27.7319352999911</v>
      </c>
      <c r="AY97" t="str">
        <f>IF(AL97=MIN(AL97,AQ97,AV97),"Simulated Annealing",IF(AQ97=MIN(AL97,AQ97,AV97),"Ant Colony Optimization","Genetic Algorithm"))</f>
        <v>Ant Colony Optimization</v>
      </c>
      <c r="AZ97">
        <f>MIN(AL97,AQ97,AV97)</f>
        <v>81377.508360169406</v>
      </c>
      <c r="BA97">
        <f>AZ97/F97</f>
        <v>1.3075813126551266</v>
      </c>
      <c r="BB97">
        <v>74377.036561443994</v>
      </c>
      <c r="BC97">
        <f>BB97/F97</f>
        <v>1.1950970858922576</v>
      </c>
      <c r="BD97">
        <v>0.112</v>
      </c>
      <c r="BE97">
        <v>5</v>
      </c>
      <c r="BF97">
        <v>5</v>
      </c>
    </row>
    <row r="98" spans="1:58" x14ac:dyDescent="0.3">
      <c r="A98">
        <v>97</v>
      </c>
      <c r="B98">
        <v>365</v>
      </c>
      <c r="C98">
        <v>0.10264465463339199</v>
      </c>
      <c r="D98">
        <v>0.887118334148982</v>
      </c>
      <c r="E98">
        <f t="shared" si="16"/>
        <v>0.94186959508680501</v>
      </c>
      <c r="F98">
        <v>63682.353122949098</v>
      </c>
      <c r="G98">
        <v>4.8632576999952999</v>
      </c>
      <c r="H98">
        <v>86058.737014269893</v>
      </c>
      <c r="I98">
        <f t="shared" si="17"/>
        <v>1.3513749538764619</v>
      </c>
      <c r="J98">
        <v>0.77532890002475996</v>
      </c>
      <c r="K98">
        <v>968326.25341363903</v>
      </c>
      <c r="L98" t="s">
        <v>44</v>
      </c>
      <c r="M98">
        <v>0</v>
      </c>
      <c r="N98">
        <v>94</v>
      </c>
      <c r="O98">
        <f t="shared" si="18"/>
        <v>0.26027397260273971</v>
      </c>
      <c r="P98">
        <v>88710.408323115102</v>
      </c>
      <c r="Q98">
        <f t="shared" si="19"/>
        <v>1.3930139822541621</v>
      </c>
      <c r="R98">
        <v>4.8632576999952999</v>
      </c>
      <c r="S98">
        <v>198</v>
      </c>
      <c r="T98">
        <f t="shared" si="20"/>
        <v>0.54520547945205478</v>
      </c>
      <c r="U98">
        <v>85132.139984008201</v>
      </c>
      <c r="V98">
        <f t="shared" si="21"/>
        <v>1.3368246587817949</v>
      </c>
      <c r="W98">
        <v>1.32892250001896</v>
      </c>
      <c r="X98" t="str">
        <f>IF(H98=MIN(H98,P98,U98),"Christofides",IF(P98=MIN(H98,P98,U98),"Arithmetic Series","Nearest Neighbor"))</f>
        <v>Nearest Neighbor</v>
      </c>
      <c r="Y98">
        <f t="shared" si="22"/>
        <v>85132.139984008201</v>
      </c>
      <c r="Z98">
        <f t="shared" si="23"/>
        <v>1.3368246587817949</v>
      </c>
      <c r="AA98">
        <v>4110</v>
      </c>
      <c r="AB98">
        <v>4264</v>
      </c>
      <c r="AC98">
        <f t="shared" si="24"/>
        <v>0.96388367729831148</v>
      </c>
      <c r="AD98">
        <v>0</v>
      </c>
      <c r="AE98">
        <v>85132.139984008303</v>
      </c>
      <c r="AF98">
        <v>8</v>
      </c>
      <c r="AG98">
        <f t="shared" si="25"/>
        <v>1.876172607879925E-3</v>
      </c>
      <c r="AH98" s="1">
        <v>4.3655745685100497E-11</v>
      </c>
      <c r="AI98" s="4">
        <v>85004.958995744193</v>
      </c>
      <c r="AJ98" s="4">
        <v>667</v>
      </c>
      <c r="AK98" s="4">
        <f t="shared" si="26"/>
        <v>0.15642589118198874</v>
      </c>
      <c r="AL98">
        <v>84577.278381674696</v>
      </c>
      <c r="AM98">
        <f t="shared" si="27"/>
        <v>1.3281117018145445</v>
      </c>
      <c r="AN98">
        <v>0.62681570003041998</v>
      </c>
      <c r="AO98">
        <v>1</v>
      </c>
      <c r="AP98">
        <f t="shared" si="28"/>
        <v>0.1</v>
      </c>
      <c r="AQ98">
        <v>85132.139984008201</v>
      </c>
      <c r="AR98">
        <f t="shared" si="29"/>
        <v>1.3368246587817949</v>
      </c>
      <c r="AS98">
        <v>36.944574300025103</v>
      </c>
      <c r="AT98">
        <v>96</v>
      </c>
      <c r="AU98">
        <f t="shared" si="30"/>
        <v>0.96</v>
      </c>
      <c r="AV98">
        <v>84715.123868865005</v>
      </c>
      <c r="AW98">
        <f t="shared" si="31"/>
        <v>1.3302762808608648</v>
      </c>
      <c r="AX98">
        <v>29.9478718999889</v>
      </c>
      <c r="AY98" t="str">
        <f>IF(AL98=MIN(AL98,AQ98,AV98),"Simulated Annealing",IF(AQ98=MIN(AL98,AQ98,AV98),"Ant Colony Optimization","Genetic Algorithm"))</f>
        <v>Simulated Annealing</v>
      </c>
      <c r="AZ98">
        <f>MIN(AL98,AQ98,AV98)</f>
        <v>84577.278381674696</v>
      </c>
      <c r="BA98">
        <f>AZ98/F98</f>
        <v>1.3281117018145445</v>
      </c>
      <c r="BB98">
        <v>76713.250339089398</v>
      </c>
      <c r="BC98">
        <f>BB98/F98</f>
        <v>1.2046233623148637</v>
      </c>
      <c r="BD98">
        <v>0.112</v>
      </c>
      <c r="BE98">
        <v>5</v>
      </c>
      <c r="BF98">
        <v>5</v>
      </c>
    </row>
    <row r="99" spans="1:58" x14ac:dyDescent="0.3">
      <c r="A99">
        <v>98</v>
      </c>
      <c r="B99">
        <v>375</v>
      </c>
      <c r="C99">
        <v>9.6356849302816502E-2</v>
      </c>
      <c r="D99">
        <v>0.67296312285569704</v>
      </c>
      <c r="E99">
        <f t="shared" si="16"/>
        <v>0.82034329573398546</v>
      </c>
      <c r="F99">
        <v>64776.917817306203</v>
      </c>
      <c r="G99">
        <v>5.2339466999983397</v>
      </c>
      <c r="H99">
        <v>87134.159263712805</v>
      </c>
      <c r="I99">
        <f t="shared" si="17"/>
        <v>1.3451420999909556</v>
      </c>
      <c r="J99">
        <v>0.81203949998598501</v>
      </c>
      <c r="K99">
        <v>1027662.06329293</v>
      </c>
      <c r="L99" t="s">
        <v>44</v>
      </c>
      <c r="M99">
        <v>1</v>
      </c>
      <c r="N99">
        <v>112</v>
      </c>
      <c r="O99">
        <f t="shared" si="18"/>
        <v>0.30133333333333334</v>
      </c>
      <c r="P99">
        <v>89129.708880988095</v>
      </c>
      <c r="Q99">
        <f t="shared" si="19"/>
        <v>1.3759485922495629</v>
      </c>
      <c r="R99">
        <v>5.2339466999983397</v>
      </c>
      <c r="S99">
        <v>88</v>
      </c>
      <c r="T99">
        <f t="shared" si="20"/>
        <v>0.23733333333333334</v>
      </c>
      <c r="U99">
        <v>86907.693072959504</v>
      </c>
      <c r="V99">
        <f t="shared" si="21"/>
        <v>1.3416460060367477</v>
      </c>
      <c r="W99">
        <v>1.5156838999828299</v>
      </c>
      <c r="X99" t="str">
        <f>IF(H99=MIN(H99,P99,U99),"Christofides",IF(P99=MIN(H99,P99,U99),"Arithmetic Series","Nearest Neighbor"))</f>
        <v>Nearest Neighbor</v>
      </c>
      <c r="Y99">
        <f t="shared" si="22"/>
        <v>86907.693072959504</v>
      </c>
      <c r="Z99">
        <f t="shared" si="23"/>
        <v>1.3416460060367477</v>
      </c>
      <c r="AA99">
        <v>3440</v>
      </c>
      <c r="AB99">
        <v>4267</v>
      </c>
      <c r="AC99">
        <f t="shared" si="24"/>
        <v>0.80618701663932502</v>
      </c>
      <c r="AD99">
        <v>0</v>
      </c>
      <c r="AE99">
        <v>86504.353205899999</v>
      </c>
      <c r="AF99">
        <v>1216</v>
      </c>
      <c r="AG99">
        <f t="shared" si="25"/>
        <v>0.28497773611436605</v>
      </c>
      <c r="AH99" s="1">
        <v>1.45519152283668E-11</v>
      </c>
      <c r="AI99" s="4">
        <v>86504.353205899999</v>
      </c>
      <c r="AJ99" s="4">
        <v>1216</v>
      </c>
      <c r="AK99" s="4">
        <f t="shared" si="26"/>
        <v>0.28497773611436605</v>
      </c>
      <c r="AL99">
        <v>85144.058241240506</v>
      </c>
      <c r="AM99">
        <f t="shared" si="27"/>
        <v>1.3144197209471564</v>
      </c>
      <c r="AN99">
        <v>0.67465679999440897</v>
      </c>
      <c r="AO99">
        <v>7</v>
      </c>
      <c r="AP99">
        <f t="shared" si="28"/>
        <v>0.7</v>
      </c>
      <c r="AQ99">
        <v>86389.245675697297</v>
      </c>
      <c r="AR99">
        <f t="shared" si="29"/>
        <v>1.333642423669269</v>
      </c>
      <c r="AS99">
        <v>39.760594699997398</v>
      </c>
      <c r="AT99">
        <v>82</v>
      </c>
      <c r="AU99">
        <f t="shared" si="30"/>
        <v>0.82</v>
      </c>
      <c r="AV99">
        <v>83375.8318875408</v>
      </c>
      <c r="AW99">
        <f t="shared" si="31"/>
        <v>1.2871225537882198</v>
      </c>
      <c r="AX99">
        <v>32.352811200020298</v>
      </c>
      <c r="AY99" t="str">
        <f>IF(AL99=MIN(AL99,AQ99,AV99),"Simulated Annealing",IF(AQ99=MIN(AL99,AQ99,AV99),"Ant Colony Optimization","Genetic Algorithm"))</f>
        <v>Genetic Algorithm</v>
      </c>
      <c r="AZ99">
        <f>MIN(AL99,AQ99,AV99)</f>
        <v>83375.8318875408</v>
      </c>
      <c r="BA99">
        <f>AZ99/F99</f>
        <v>1.2871225537882198</v>
      </c>
      <c r="BB99">
        <v>78101.340428874304</v>
      </c>
      <c r="BC99">
        <f>BB99/F99</f>
        <v>1.205697076374453</v>
      </c>
      <c r="BD99">
        <v>0.112</v>
      </c>
      <c r="BE99">
        <v>5</v>
      </c>
      <c r="BF99">
        <v>5.07</v>
      </c>
    </row>
    <row r="100" spans="1:58" x14ac:dyDescent="0.3">
      <c r="A100">
        <v>99</v>
      </c>
      <c r="B100">
        <v>385</v>
      </c>
      <c r="C100">
        <v>8.9710808179498905E-2</v>
      </c>
      <c r="D100">
        <v>0.19626895919661899</v>
      </c>
      <c r="E100">
        <f t="shared" si="16"/>
        <v>0.44302252673720666</v>
      </c>
      <c r="F100">
        <v>66082.193982919503</v>
      </c>
      <c r="G100">
        <v>5.7020556000061298</v>
      </c>
      <c r="H100">
        <v>88057.2408960498</v>
      </c>
      <c r="I100">
        <f t="shared" si="17"/>
        <v>1.332541121725018</v>
      </c>
      <c r="J100">
        <v>0.86702260002493803</v>
      </c>
      <c r="K100">
        <v>1088894.8468017499</v>
      </c>
      <c r="L100" t="s">
        <v>44</v>
      </c>
      <c r="M100">
        <v>0</v>
      </c>
      <c r="N100">
        <v>12</v>
      </c>
      <c r="O100">
        <f t="shared" si="18"/>
        <v>3.3766233766233764E-2</v>
      </c>
      <c r="P100">
        <v>88521.446936468099</v>
      </c>
      <c r="Q100">
        <f t="shared" si="19"/>
        <v>1.339565798304889</v>
      </c>
      <c r="R100">
        <v>5.7020556000061298</v>
      </c>
      <c r="S100">
        <v>241</v>
      </c>
      <c r="T100">
        <f t="shared" si="20"/>
        <v>0.62857142857142856</v>
      </c>
      <c r="U100">
        <v>88117.583919673896</v>
      </c>
      <c r="V100">
        <f t="shared" si="21"/>
        <v>1.3334542727568937</v>
      </c>
      <c r="W100">
        <v>1.6234539999859401</v>
      </c>
      <c r="X100" t="str">
        <f>IF(H100=MIN(H100,P100,U100),"Christofides",IF(P100=MIN(H100,P100,U100),"Arithmetic Series","Nearest Neighbor"))</f>
        <v>Christofides</v>
      </c>
      <c r="Y100">
        <f t="shared" si="22"/>
        <v>88057.2408960498</v>
      </c>
      <c r="Z100">
        <f t="shared" si="23"/>
        <v>1.332541121725018</v>
      </c>
      <c r="AA100">
        <v>1162</v>
      </c>
      <c r="AB100">
        <v>4269</v>
      </c>
      <c r="AC100">
        <f t="shared" si="24"/>
        <v>0.27219489341766223</v>
      </c>
      <c r="AD100">
        <v>0</v>
      </c>
      <c r="AE100">
        <v>88060.184419455298</v>
      </c>
      <c r="AF100">
        <v>88</v>
      </c>
      <c r="AG100">
        <f t="shared" si="25"/>
        <v>2.0613726868118996E-2</v>
      </c>
      <c r="AH100">
        <v>2.9435234054981199</v>
      </c>
      <c r="AI100" s="4">
        <v>88060.184419455298</v>
      </c>
      <c r="AJ100" s="4">
        <v>88</v>
      </c>
      <c r="AK100" s="4">
        <f t="shared" si="26"/>
        <v>2.0613726868118996E-2</v>
      </c>
      <c r="AL100">
        <v>87704.229371959605</v>
      </c>
      <c r="AM100">
        <f t="shared" si="27"/>
        <v>1.3271991150086335</v>
      </c>
      <c r="AN100">
        <v>0.71347180003067401</v>
      </c>
      <c r="AO100">
        <v>2</v>
      </c>
      <c r="AP100">
        <f t="shared" si="28"/>
        <v>0.2</v>
      </c>
      <c r="AQ100">
        <v>86586.8687737812</v>
      </c>
      <c r="AR100">
        <f t="shared" si="29"/>
        <v>1.3102904663873844</v>
      </c>
      <c r="AS100">
        <v>42.662807699991298</v>
      </c>
      <c r="AT100">
        <v>99</v>
      </c>
      <c r="AU100">
        <f t="shared" si="30"/>
        <v>0.99</v>
      </c>
      <c r="AV100">
        <v>87826.4624870876</v>
      </c>
      <c r="AW100">
        <f t="shared" si="31"/>
        <v>1.3290488283392712</v>
      </c>
      <c r="AX100">
        <v>35.526464299997301</v>
      </c>
      <c r="AY100" t="str">
        <f>IF(AL100=MIN(AL100,AQ100,AV100),"Simulated Annealing",IF(AQ100=MIN(AL100,AQ100,AV100),"Ant Colony Optimization","Genetic Algorithm"))</f>
        <v>Ant Colony Optimization</v>
      </c>
      <c r="AZ100">
        <f>MIN(AL100,AQ100,AV100)</f>
        <v>86586.8687737812</v>
      </c>
      <c r="BA100">
        <f>AZ100/F100</f>
        <v>1.3102904663873844</v>
      </c>
      <c r="BB100">
        <v>78744.208457183602</v>
      </c>
      <c r="BC100">
        <f>BB100/F100</f>
        <v>1.1916100799791378</v>
      </c>
      <c r="BD100">
        <v>0.112</v>
      </c>
      <c r="BE100">
        <v>5</v>
      </c>
      <c r="BF100">
        <v>5</v>
      </c>
    </row>
    <row r="101" spans="1:58" x14ac:dyDescent="0.3">
      <c r="A101">
        <v>100</v>
      </c>
      <c r="B101">
        <v>395</v>
      </c>
      <c r="C101">
        <v>8.5341582350948603E-2</v>
      </c>
      <c r="D101">
        <v>0.18893414943056699</v>
      </c>
      <c r="E101">
        <f t="shared" si="16"/>
        <v>0.43466556043763921</v>
      </c>
      <c r="F101">
        <v>66726.653152398299</v>
      </c>
      <c r="G101">
        <v>6.1861779000028001</v>
      </c>
      <c r="H101">
        <v>89172.320317534104</v>
      </c>
      <c r="I101">
        <f t="shared" si="17"/>
        <v>1.3363823315680423</v>
      </c>
      <c r="J101">
        <v>0.96764629997778595</v>
      </c>
      <c r="K101">
        <v>1152041.8903681601</v>
      </c>
      <c r="L101" t="s">
        <v>44</v>
      </c>
      <c r="M101" t="s">
        <v>37</v>
      </c>
      <c r="N101">
        <v>183</v>
      </c>
      <c r="O101">
        <f t="shared" si="18"/>
        <v>0.46582278481012657</v>
      </c>
      <c r="P101">
        <v>93701.711422206106</v>
      </c>
      <c r="Q101">
        <f t="shared" si="19"/>
        <v>1.4042621200886392</v>
      </c>
      <c r="R101">
        <v>6.1861779000028001</v>
      </c>
      <c r="S101">
        <v>189</v>
      </c>
      <c r="T101">
        <f t="shared" si="20"/>
        <v>0.48101265822784811</v>
      </c>
      <c r="U101">
        <v>86273.803621294297</v>
      </c>
      <c r="V101">
        <f t="shared" si="21"/>
        <v>1.2929436671168248</v>
      </c>
      <c r="W101">
        <v>1.6917575999977901</v>
      </c>
      <c r="X101" t="str">
        <f>IF(H101=MIN(H101,P101,U101),"Christofides",IF(P101=MIN(H101,P101,U101),"Arithmetic Series","Nearest Neighbor"))</f>
        <v>Nearest Neighbor</v>
      </c>
      <c r="Y101">
        <f t="shared" si="22"/>
        <v>86273.803621294297</v>
      </c>
      <c r="Z101">
        <f t="shared" si="23"/>
        <v>1.2929436671168248</v>
      </c>
      <c r="AA101">
        <v>3039</v>
      </c>
      <c r="AB101">
        <v>4272</v>
      </c>
      <c r="AC101">
        <f t="shared" si="24"/>
        <v>0.711376404494382</v>
      </c>
      <c r="AD101">
        <v>0</v>
      </c>
      <c r="AE101">
        <v>86059.209490042704</v>
      </c>
      <c r="AF101">
        <v>514</v>
      </c>
      <c r="AG101">
        <f t="shared" si="25"/>
        <v>0.1203183520599251</v>
      </c>
      <c r="AH101" s="1">
        <v>5.8207660913467401E-11</v>
      </c>
      <c r="AI101" s="4">
        <v>85961.405337517499</v>
      </c>
      <c r="AJ101" s="4">
        <v>2766</v>
      </c>
      <c r="AK101" s="4">
        <f t="shared" si="26"/>
        <v>0.64747191011235961</v>
      </c>
      <c r="AL101">
        <v>85855.484040387702</v>
      </c>
      <c r="AM101">
        <f t="shared" si="27"/>
        <v>1.286674514369853</v>
      </c>
      <c r="AN101">
        <v>0.715840200020466</v>
      </c>
      <c r="AO101">
        <v>0</v>
      </c>
      <c r="AP101">
        <f t="shared" si="28"/>
        <v>0</v>
      </c>
      <c r="AQ101">
        <v>86273.803621294297</v>
      </c>
      <c r="AR101">
        <f t="shared" si="29"/>
        <v>1.2929436671168248</v>
      </c>
      <c r="AS101">
        <v>45.8776132999919</v>
      </c>
      <c r="AT101">
        <v>85</v>
      </c>
      <c r="AU101">
        <f t="shared" si="30"/>
        <v>0.85</v>
      </c>
      <c r="AV101">
        <v>86217.919607552307</v>
      </c>
      <c r="AW101">
        <f t="shared" si="31"/>
        <v>1.2921061604968787</v>
      </c>
      <c r="AX101">
        <v>38.657861599989701</v>
      </c>
      <c r="AY101" t="str">
        <f>IF(AL101=MIN(AL101,AQ101,AV101),"Simulated Annealing",IF(AQ101=MIN(AL101,AQ101,AV101),"Ant Colony Optimization","Genetic Algorithm"))</f>
        <v>Simulated Annealing</v>
      </c>
      <c r="AZ101">
        <f>MIN(AL101,AQ101,AV101)</f>
        <v>85855.484040387702</v>
      </c>
      <c r="BA101">
        <f>AZ101/F101</f>
        <v>1.286674514369853</v>
      </c>
      <c r="BB101">
        <v>80467.360015727201</v>
      </c>
      <c r="BC101">
        <f>BB101/F101</f>
        <v>1.2059253119131605</v>
      </c>
      <c r="BD101">
        <v>0.112</v>
      </c>
      <c r="BE101">
        <v>5</v>
      </c>
      <c r="BF101">
        <v>5</v>
      </c>
    </row>
    <row r="102" spans="1:58" x14ac:dyDescent="0.3">
      <c r="A102">
        <v>101</v>
      </c>
      <c r="B102">
        <v>405</v>
      </c>
      <c r="C102">
        <v>8.3946870170592006E-2</v>
      </c>
      <c r="D102">
        <v>0.47839119117895801</v>
      </c>
      <c r="E102">
        <f t="shared" si="16"/>
        <v>0.69165829076138308</v>
      </c>
      <c r="F102">
        <v>67202.5236798306</v>
      </c>
      <c r="G102">
        <v>6.9774335999973101</v>
      </c>
      <c r="H102">
        <v>89287.9315727129</v>
      </c>
      <c r="I102">
        <f t="shared" si="17"/>
        <v>1.3286395611882469</v>
      </c>
      <c r="J102">
        <v>1.0272308000130499</v>
      </c>
      <c r="K102">
        <v>1217095.05354439</v>
      </c>
      <c r="L102" t="s">
        <v>44</v>
      </c>
      <c r="M102" t="s">
        <v>37</v>
      </c>
      <c r="N102">
        <v>119</v>
      </c>
      <c r="O102">
        <f t="shared" si="18"/>
        <v>0.29629629629629628</v>
      </c>
      <c r="P102">
        <v>90804.966857929496</v>
      </c>
      <c r="Q102">
        <f t="shared" si="19"/>
        <v>1.3512136432635589</v>
      </c>
      <c r="R102">
        <v>6.9774335999973101</v>
      </c>
      <c r="S102">
        <v>40</v>
      </c>
      <c r="T102">
        <f t="shared" si="20"/>
        <v>0.10123456790123457</v>
      </c>
      <c r="U102">
        <v>87879.2824175274</v>
      </c>
      <c r="V102">
        <f t="shared" si="21"/>
        <v>1.3076783073833058</v>
      </c>
      <c r="W102">
        <v>1.9683026000275201</v>
      </c>
      <c r="X102" t="str">
        <f>IF(H102=MIN(H102,P102,U102),"Christofides",IF(P102=MIN(H102,P102,U102),"Arithmetic Series","Nearest Neighbor"))</f>
        <v>Nearest Neighbor</v>
      </c>
      <c r="Y102">
        <f t="shared" si="22"/>
        <v>87879.2824175274</v>
      </c>
      <c r="Z102">
        <f t="shared" si="23"/>
        <v>1.3076783073833058</v>
      </c>
      <c r="AA102">
        <v>4129</v>
      </c>
      <c r="AB102">
        <v>4274</v>
      </c>
      <c r="AC102">
        <f t="shared" si="24"/>
        <v>0.96607393542349085</v>
      </c>
      <c r="AD102">
        <v>0</v>
      </c>
      <c r="AE102">
        <v>87879.2824175274</v>
      </c>
      <c r="AF102">
        <v>451</v>
      </c>
      <c r="AG102">
        <f t="shared" si="25"/>
        <v>0.1055217594759008</v>
      </c>
      <c r="AH102" s="1">
        <v>8.7311491370201098E-11</v>
      </c>
      <c r="AI102" s="4">
        <v>87414.622176850695</v>
      </c>
      <c r="AJ102" s="4">
        <v>2514</v>
      </c>
      <c r="AK102" s="4">
        <f t="shared" si="26"/>
        <v>0.58820776789892371</v>
      </c>
      <c r="AL102">
        <v>87293.185330259599</v>
      </c>
      <c r="AM102">
        <f t="shared" si="27"/>
        <v>1.2989569520654591</v>
      </c>
      <c r="AN102">
        <v>0.75285150000126999</v>
      </c>
      <c r="AO102">
        <v>0</v>
      </c>
      <c r="AP102">
        <f t="shared" si="28"/>
        <v>0</v>
      </c>
      <c r="AQ102">
        <v>87879.2824175274</v>
      </c>
      <c r="AR102">
        <f t="shared" si="29"/>
        <v>1.3076783073833058</v>
      </c>
      <c r="AS102">
        <v>49.603016299952202</v>
      </c>
      <c r="AT102">
        <v>15</v>
      </c>
      <c r="AU102">
        <f t="shared" si="30"/>
        <v>0.15</v>
      </c>
      <c r="AV102">
        <v>87472.575919755807</v>
      </c>
      <c r="AW102">
        <f t="shared" si="31"/>
        <v>1.3016263546365718</v>
      </c>
      <c r="AX102">
        <v>41.886128299985998</v>
      </c>
      <c r="AY102" t="str">
        <f>IF(AL102=MIN(AL102,AQ102,AV102),"Simulated Annealing",IF(AQ102=MIN(AL102,AQ102,AV102),"Ant Colony Optimization","Genetic Algorithm"))</f>
        <v>Simulated Annealing</v>
      </c>
      <c r="AZ102">
        <f>MIN(AL102,AQ102,AV102)</f>
        <v>87293.185330259599</v>
      </c>
      <c r="BA102">
        <f>AZ102/F102</f>
        <v>1.2989569520654591</v>
      </c>
      <c r="BB102">
        <v>82381.248327201698</v>
      </c>
      <c r="BC102">
        <f>BB102/F102</f>
        <v>1.225865396360504</v>
      </c>
      <c r="BD102">
        <v>0.112</v>
      </c>
      <c r="BE102">
        <v>5</v>
      </c>
      <c r="BF102">
        <v>5</v>
      </c>
    </row>
    <row r="103" spans="1:58" x14ac:dyDescent="0.3">
      <c r="A103">
        <v>102</v>
      </c>
      <c r="B103">
        <v>415</v>
      </c>
      <c r="C103">
        <v>7.8116181316297897E-2</v>
      </c>
      <c r="D103">
        <v>0.10157187012838501</v>
      </c>
      <c r="E103">
        <f t="shared" si="16"/>
        <v>0.31870342032740251</v>
      </c>
      <c r="F103">
        <v>67454.6219240848</v>
      </c>
      <c r="G103">
        <v>7.4954708000295698</v>
      </c>
      <c r="H103">
        <v>90247.357732072094</v>
      </c>
      <c r="I103">
        <f t="shared" si="17"/>
        <v>1.3378973176017328</v>
      </c>
      <c r="J103">
        <v>1.1100057999719799</v>
      </c>
      <c r="K103">
        <v>1284068.8223926199</v>
      </c>
      <c r="L103" t="s">
        <v>44</v>
      </c>
      <c r="M103">
        <v>0</v>
      </c>
      <c r="N103">
        <v>340</v>
      </c>
      <c r="O103">
        <f t="shared" si="18"/>
        <v>0.82168674698795185</v>
      </c>
      <c r="P103">
        <v>91008.514019892595</v>
      </c>
      <c r="Q103">
        <f t="shared" si="19"/>
        <v>1.3491812929040794</v>
      </c>
      <c r="R103">
        <v>7.4954708000295698</v>
      </c>
      <c r="S103">
        <v>371</v>
      </c>
      <c r="T103">
        <f t="shared" si="20"/>
        <v>0.89638554216867472</v>
      </c>
      <c r="U103">
        <v>87506.859608333601</v>
      </c>
      <c r="V103">
        <f t="shared" si="21"/>
        <v>1.2972700329833011</v>
      </c>
      <c r="W103">
        <v>2.2172914000111601</v>
      </c>
      <c r="X103" t="str">
        <f>IF(H103=MIN(H103,P103,U103),"Christofides",IF(P103=MIN(H103,P103,U103),"Arithmetic Series","Nearest Neighbor"))</f>
        <v>Nearest Neighbor</v>
      </c>
      <c r="Y103">
        <f t="shared" si="22"/>
        <v>87506.859608333601</v>
      </c>
      <c r="Z103">
        <f t="shared" si="23"/>
        <v>1.2972700329833011</v>
      </c>
      <c r="AA103">
        <v>2358</v>
      </c>
      <c r="AB103">
        <v>4277</v>
      </c>
      <c r="AC103">
        <f t="shared" si="24"/>
        <v>0.55132101940612577</v>
      </c>
      <c r="AD103">
        <v>0</v>
      </c>
      <c r="AE103">
        <v>87258.054122947302</v>
      </c>
      <c r="AF103">
        <v>638</v>
      </c>
      <c r="AG103">
        <f t="shared" si="25"/>
        <v>0.14916997895721301</v>
      </c>
      <c r="AH103" s="1">
        <v>2.91038304567337E-11</v>
      </c>
      <c r="AI103" s="4">
        <v>86777.233921843304</v>
      </c>
      <c r="AJ103" s="4">
        <v>4148</v>
      </c>
      <c r="AK103" s="4">
        <f t="shared" si="26"/>
        <v>0.96983867196633156</v>
      </c>
      <c r="AL103">
        <v>86777.233921843304</v>
      </c>
      <c r="AM103">
        <f t="shared" si="27"/>
        <v>1.2864534919416593</v>
      </c>
      <c r="AN103">
        <v>0.79243509995285399</v>
      </c>
      <c r="AO103">
        <v>10</v>
      </c>
      <c r="AP103">
        <f t="shared" si="28"/>
        <v>1</v>
      </c>
      <c r="AQ103">
        <v>87144.224045745505</v>
      </c>
      <c r="AR103">
        <f t="shared" si="29"/>
        <v>1.2918940401714785</v>
      </c>
      <c r="AS103">
        <v>53.496994700049903</v>
      </c>
      <c r="AT103">
        <v>81</v>
      </c>
      <c r="AU103">
        <f t="shared" si="30"/>
        <v>0.81</v>
      </c>
      <c r="AV103">
        <v>87230.107559593001</v>
      </c>
      <c r="AW103">
        <f t="shared" si="31"/>
        <v>1.293167244459009</v>
      </c>
      <c r="AX103">
        <v>45.481767599994697</v>
      </c>
      <c r="AY103" t="str">
        <f>IF(AL103=MIN(AL103,AQ103,AV103),"Simulated Annealing",IF(AQ103=MIN(AL103,AQ103,AV103),"Ant Colony Optimization","Genetic Algorithm"))</f>
        <v>Simulated Annealing</v>
      </c>
      <c r="AZ103">
        <f>MIN(AL103,AQ103,AV103)</f>
        <v>86777.233921843304</v>
      </c>
      <c r="BA103">
        <f>AZ103/F103</f>
        <v>1.2864534919416593</v>
      </c>
      <c r="BB103">
        <v>82844.453782208002</v>
      </c>
      <c r="BC103">
        <f>BB103/F103</f>
        <v>1.2281508875024654</v>
      </c>
      <c r="BD103">
        <v>0.112</v>
      </c>
      <c r="BE103">
        <v>5</v>
      </c>
      <c r="BF103">
        <v>5</v>
      </c>
    </row>
    <row r="104" spans="1:58" x14ac:dyDescent="0.3">
      <c r="A104">
        <v>103</v>
      </c>
      <c r="B104">
        <v>425</v>
      </c>
      <c r="C104">
        <v>7.4163238279920801E-2</v>
      </c>
      <c r="D104">
        <v>0.170975915341674</v>
      </c>
      <c r="E104">
        <f t="shared" si="16"/>
        <v>0.41349234012454694</v>
      </c>
      <c r="F104">
        <v>69613.3198170994</v>
      </c>
      <c r="G104">
        <v>7.5322439000010402</v>
      </c>
      <c r="H104">
        <v>92506.914086835503</v>
      </c>
      <c r="I104">
        <f t="shared" si="17"/>
        <v>1.3288680144818013</v>
      </c>
      <c r="J104">
        <v>1.12049000000115</v>
      </c>
      <c r="K104">
        <v>1352970.0993345799</v>
      </c>
      <c r="L104" t="s">
        <v>44</v>
      </c>
      <c r="M104">
        <v>0</v>
      </c>
      <c r="N104">
        <v>251</v>
      </c>
      <c r="O104">
        <f t="shared" si="18"/>
        <v>0.59294117647058819</v>
      </c>
      <c r="P104">
        <v>93539.447375758798</v>
      </c>
      <c r="Q104">
        <f t="shared" si="19"/>
        <v>1.343700424308486</v>
      </c>
      <c r="R104">
        <v>7.5322439000010402</v>
      </c>
      <c r="S104">
        <v>80</v>
      </c>
      <c r="T104">
        <f t="shared" si="20"/>
        <v>0.19058823529411764</v>
      </c>
      <c r="U104">
        <v>92377.633185008293</v>
      </c>
      <c r="V104">
        <f t="shared" si="21"/>
        <v>1.3270108856712965</v>
      </c>
      <c r="W104">
        <v>2.16429769998649</v>
      </c>
      <c r="X104" t="str">
        <f>IF(H104=MIN(H104,P104,U104),"Christofides",IF(P104=MIN(H104,P104,U104),"Arithmetic Series","Nearest Neighbor"))</f>
        <v>Nearest Neighbor</v>
      </c>
      <c r="Y104">
        <f t="shared" si="22"/>
        <v>92377.633185008293</v>
      </c>
      <c r="Z104">
        <f t="shared" si="23"/>
        <v>1.3270108856712965</v>
      </c>
      <c r="AA104">
        <v>4223</v>
      </c>
      <c r="AB104">
        <v>4279</v>
      </c>
      <c r="AC104">
        <f t="shared" si="24"/>
        <v>0.9869128301004908</v>
      </c>
      <c r="AD104">
        <v>0</v>
      </c>
      <c r="AE104">
        <v>92377.633185008395</v>
      </c>
      <c r="AF104">
        <v>234</v>
      </c>
      <c r="AG104">
        <f t="shared" si="25"/>
        <v>5.4685674222949288E-2</v>
      </c>
      <c r="AH104" s="1">
        <v>1.0186340659856701E-10</v>
      </c>
      <c r="AI104" s="4">
        <v>92377.633185008395</v>
      </c>
      <c r="AJ104" s="4">
        <v>234</v>
      </c>
      <c r="AK104" s="4">
        <f t="shared" si="26"/>
        <v>5.4685674222949288E-2</v>
      </c>
      <c r="AL104">
        <v>91395.944457747901</v>
      </c>
      <c r="AM104">
        <f t="shared" si="27"/>
        <v>1.3129088613771003</v>
      </c>
      <c r="AN104">
        <v>0.75050000002374795</v>
      </c>
      <c r="AO104">
        <v>0</v>
      </c>
      <c r="AP104">
        <f t="shared" si="28"/>
        <v>0</v>
      </c>
      <c r="AQ104">
        <v>92377.633185008293</v>
      </c>
      <c r="AR104">
        <f t="shared" si="29"/>
        <v>1.3270108856712965</v>
      </c>
      <c r="AS104">
        <v>57.0124662999878</v>
      </c>
      <c r="AT104">
        <v>88</v>
      </c>
      <c r="AU104">
        <f t="shared" si="30"/>
        <v>0.88</v>
      </c>
      <c r="AV104">
        <v>92128.210971176799</v>
      </c>
      <c r="AW104">
        <f t="shared" si="31"/>
        <v>1.3234279188700173</v>
      </c>
      <c r="AX104">
        <v>49.291258700017302</v>
      </c>
      <c r="AY104" t="str">
        <f>IF(AL104=MIN(AL104,AQ104,AV104),"Simulated Annealing",IF(AQ104=MIN(AL104,AQ104,AV104),"Ant Colony Optimization","Genetic Algorithm"))</f>
        <v>Simulated Annealing</v>
      </c>
      <c r="AZ104">
        <f>MIN(AL104,AQ104,AV104)</f>
        <v>91395.944457747901</v>
      </c>
      <c r="BA104">
        <f>AZ104/F104</f>
        <v>1.3129088613771003</v>
      </c>
      <c r="BB104">
        <v>85372.883642208093</v>
      </c>
      <c r="BC104">
        <f>BB104/F104</f>
        <v>1.2263871894992948</v>
      </c>
      <c r="BD104">
        <v>9.6000000000000002E-2</v>
      </c>
      <c r="BE104">
        <v>5</v>
      </c>
      <c r="BF104">
        <v>5.085</v>
      </c>
    </row>
    <row r="105" spans="1:58" x14ac:dyDescent="0.3">
      <c r="A105">
        <v>104</v>
      </c>
      <c r="B105">
        <v>435</v>
      </c>
      <c r="C105">
        <v>7.0985267088046505E-2</v>
      </c>
      <c r="D105">
        <v>0.12380166696476599</v>
      </c>
      <c r="E105">
        <f t="shared" si="16"/>
        <v>0.35185461054925227</v>
      </c>
      <c r="F105">
        <v>68957.193592901996</v>
      </c>
      <c r="G105">
        <v>8.4819377000094391</v>
      </c>
      <c r="H105">
        <v>94161.564193032304</v>
      </c>
      <c r="I105">
        <f t="shared" si="17"/>
        <v>1.3655074878616389</v>
      </c>
      <c r="J105">
        <v>1.2300017999950701</v>
      </c>
      <c r="K105">
        <v>1423813.9714281899</v>
      </c>
      <c r="L105" t="s">
        <v>44</v>
      </c>
      <c r="M105">
        <v>0</v>
      </c>
      <c r="N105">
        <v>350</v>
      </c>
      <c r="O105">
        <f t="shared" si="18"/>
        <v>0.80689655172413788</v>
      </c>
      <c r="P105">
        <v>96175.861843283594</v>
      </c>
      <c r="Q105">
        <f t="shared" si="19"/>
        <v>1.3947183293315364</v>
      </c>
      <c r="R105">
        <v>8.4819377000094391</v>
      </c>
      <c r="S105">
        <v>107</v>
      </c>
      <c r="T105">
        <f t="shared" si="20"/>
        <v>0.24827586206896551</v>
      </c>
      <c r="U105">
        <v>91659.686292513405</v>
      </c>
      <c r="V105">
        <f t="shared" si="21"/>
        <v>1.3292258793714635</v>
      </c>
      <c r="W105">
        <v>2.4935231999843301</v>
      </c>
      <c r="X105" t="str">
        <f>IF(H105=MIN(H105,P105,U105),"Christofides",IF(P105=MIN(H105,P105,U105),"Arithmetic Series","Nearest Neighbor"))</f>
        <v>Nearest Neighbor</v>
      </c>
      <c r="Y105">
        <f t="shared" si="22"/>
        <v>91659.686292513405</v>
      </c>
      <c r="Z105">
        <f t="shared" si="23"/>
        <v>1.3292258793714635</v>
      </c>
      <c r="AA105">
        <v>3387</v>
      </c>
      <c r="AB105">
        <v>4281</v>
      </c>
      <c r="AC105">
        <f t="shared" si="24"/>
        <v>0.79117028731604766</v>
      </c>
      <c r="AD105">
        <v>0</v>
      </c>
      <c r="AE105">
        <v>91603.123111564593</v>
      </c>
      <c r="AF105">
        <v>1580</v>
      </c>
      <c r="AG105">
        <f t="shared" si="25"/>
        <v>0.36907264657790234</v>
      </c>
      <c r="AH105" s="1">
        <v>5.8207660913467401E-11</v>
      </c>
      <c r="AI105" s="4">
        <v>91603.123111564593</v>
      </c>
      <c r="AJ105" s="4">
        <v>1580</v>
      </c>
      <c r="AK105" s="4">
        <f t="shared" si="26"/>
        <v>0.36907264657790234</v>
      </c>
      <c r="AL105">
        <v>91489.494006809196</v>
      </c>
      <c r="AM105">
        <f t="shared" si="27"/>
        <v>1.3267577933482857</v>
      </c>
      <c r="AN105">
        <v>0.80855180002981797</v>
      </c>
      <c r="AO105">
        <v>5</v>
      </c>
      <c r="AP105">
        <f t="shared" si="28"/>
        <v>0.5</v>
      </c>
      <c r="AQ105">
        <v>91482.0851001259</v>
      </c>
      <c r="AR105">
        <f t="shared" si="29"/>
        <v>1.3266503512338772</v>
      </c>
      <c r="AS105">
        <v>60.421898799948302</v>
      </c>
      <c r="AT105">
        <v>53</v>
      </c>
      <c r="AU105">
        <f t="shared" si="30"/>
        <v>0.53</v>
      </c>
      <c r="AV105">
        <v>91311.227520995599</v>
      </c>
      <c r="AW105">
        <f t="shared" si="31"/>
        <v>1.3241726172915858</v>
      </c>
      <c r="AX105">
        <v>52.666455799946498</v>
      </c>
      <c r="AY105" t="str">
        <f>IF(AL105=MIN(AL105,AQ105,AV105),"Simulated Annealing",IF(AQ105=MIN(AL105,AQ105,AV105),"Ant Colony Optimization","Genetic Algorithm"))</f>
        <v>Genetic Algorithm</v>
      </c>
      <c r="AZ105">
        <f>MIN(AL105,AQ105,AV105)</f>
        <v>91311.227520995599</v>
      </c>
      <c r="BA105">
        <f>AZ105/F105</f>
        <v>1.3241726172915858</v>
      </c>
      <c r="BB105">
        <v>84771.145540989106</v>
      </c>
      <c r="BC105">
        <f>BB105/F105</f>
        <v>1.2293299817484871</v>
      </c>
      <c r="BD105">
        <v>4.8000000000000001E-2</v>
      </c>
      <c r="BE105">
        <v>5</v>
      </c>
      <c r="BF105">
        <v>5.0190000000000001</v>
      </c>
    </row>
    <row r="106" spans="1:58" x14ac:dyDescent="0.3">
      <c r="A106">
        <v>105</v>
      </c>
      <c r="B106">
        <v>445</v>
      </c>
      <c r="C106">
        <v>6.8120666668632299E-2</v>
      </c>
      <c r="D106">
        <v>0.16989277504394601</v>
      </c>
      <c r="E106">
        <f t="shared" si="16"/>
        <v>0.41218051269309908</v>
      </c>
      <c r="F106">
        <v>69379.188976329504</v>
      </c>
      <c r="G106">
        <v>9.5274006999097693</v>
      </c>
      <c r="H106">
        <v>93172.533453333395</v>
      </c>
      <c r="I106">
        <f t="shared" si="17"/>
        <v>1.3429464199289156</v>
      </c>
      <c r="J106">
        <v>1.30968870001379</v>
      </c>
      <c r="K106">
        <v>1496590.3796540999</v>
      </c>
      <c r="L106" t="s">
        <v>44</v>
      </c>
      <c r="M106">
        <v>1</v>
      </c>
      <c r="N106">
        <v>267</v>
      </c>
      <c r="O106">
        <f t="shared" si="18"/>
        <v>0.60224719101123592</v>
      </c>
      <c r="P106">
        <v>95964.832212850393</v>
      </c>
      <c r="Q106">
        <f t="shared" si="19"/>
        <v>1.3831933412423034</v>
      </c>
      <c r="R106">
        <v>9.5274006999097693</v>
      </c>
      <c r="S106">
        <v>117</v>
      </c>
      <c r="T106">
        <f t="shared" si="20"/>
        <v>0.26516853932584272</v>
      </c>
      <c r="U106">
        <v>90910.720070766998</v>
      </c>
      <c r="V106">
        <f t="shared" si="21"/>
        <v>1.310345672991126</v>
      </c>
      <c r="W106">
        <v>2.5342251000693001</v>
      </c>
      <c r="X106" t="str">
        <f>IF(H106=MIN(H106,P106,U106),"Christofides",IF(P106=MIN(H106,P106,U106),"Arithmetic Series","Nearest Neighbor"))</f>
        <v>Nearest Neighbor</v>
      </c>
      <c r="Y106">
        <f t="shared" si="22"/>
        <v>90910.720070766998</v>
      </c>
      <c r="Z106">
        <f t="shared" si="23"/>
        <v>1.310345672991126</v>
      </c>
      <c r="AA106">
        <v>4246</v>
      </c>
      <c r="AB106">
        <v>4284</v>
      </c>
      <c r="AC106">
        <f t="shared" si="24"/>
        <v>0.99112978524743234</v>
      </c>
      <c r="AD106">
        <v>0</v>
      </c>
      <c r="AE106">
        <v>90921.605257456496</v>
      </c>
      <c r="AF106">
        <v>136</v>
      </c>
      <c r="AG106">
        <f t="shared" si="25"/>
        <v>3.1746031746031744E-2</v>
      </c>
      <c r="AH106">
        <v>10.885186689542</v>
      </c>
      <c r="AI106" s="4">
        <v>90921.605257456496</v>
      </c>
      <c r="AJ106" s="4">
        <v>136</v>
      </c>
      <c r="AK106" s="4">
        <f t="shared" si="26"/>
        <v>3.1746031746031744E-2</v>
      </c>
      <c r="AL106">
        <v>89954.014466164794</v>
      </c>
      <c r="AM106">
        <f t="shared" si="27"/>
        <v>1.296556154567545</v>
      </c>
      <c r="AN106">
        <v>0.82561579998582602</v>
      </c>
      <c r="AO106">
        <v>1</v>
      </c>
      <c r="AP106">
        <f t="shared" si="28"/>
        <v>0.1</v>
      </c>
      <c r="AQ106">
        <v>90910.720070766998</v>
      </c>
      <c r="AR106">
        <f t="shared" si="29"/>
        <v>1.310345672991126</v>
      </c>
      <c r="AS106">
        <v>63.298594699939699</v>
      </c>
      <c r="AT106">
        <v>69</v>
      </c>
      <c r="AU106">
        <f t="shared" si="30"/>
        <v>0.69</v>
      </c>
      <c r="AV106">
        <v>90838.333447570403</v>
      </c>
      <c r="AW106">
        <f t="shared" si="31"/>
        <v>1.3093023252053615</v>
      </c>
      <c r="AX106">
        <v>57.002519999979903</v>
      </c>
      <c r="AY106" t="str">
        <f>IF(AL106=MIN(AL106,AQ106,AV106),"Simulated Annealing",IF(AQ106=MIN(AL106,AQ106,AV106),"Ant Colony Optimization","Genetic Algorithm"))</f>
        <v>Simulated Annealing</v>
      </c>
      <c r="AZ106">
        <f>MIN(AL106,AQ106,AV106)</f>
        <v>89954.014466164794</v>
      </c>
      <c r="BA106">
        <f>AZ106/F106</f>
        <v>1.296556154567545</v>
      </c>
      <c r="BB106">
        <v>85917.492436431698</v>
      </c>
      <c r="BC106">
        <f>BB106/F106</f>
        <v>1.2383755662774418</v>
      </c>
      <c r="BD106">
        <v>9.6000000000000002E-2</v>
      </c>
      <c r="BE106">
        <v>5</v>
      </c>
      <c r="BF106">
        <v>5</v>
      </c>
    </row>
    <row r="107" spans="1:58" x14ac:dyDescent="0.3">
      <c r="A107">
        <v>106</v>
      </c>
      <c r="B107">
        <v>455</v>
      </c>
      <c r="C107">
        <v>6.6432134295687006E-2</v>
      </c>
      <c r="D107">
        <v>0.28938638228039398</v>
      </c>
      <c r="E107">
        <f t="shared" si="16"/>
        <v>0.53794644926832069</v>
      </c>
      <c r="F107">
        <v>72205.161670040194</v>
      </c>
      <c r="G107">
        <v>9.8874436999903992</v>
      </c>
      <c r="H107">
        <v>97073.941848845003</v>
      </c>
      <c r="I107">
        <f t="shared" si="17"/>
        <v>1.3444183158601459</v>
      </c>
      <c r="J107">
        <v>1.39369129994884</v>
      </c>
      <c r="K107">
        <v>1571316.4880943999</v>
      </c>
      <c r="L107" t="s">
        <v>44</v>
      </c>
      <c r="M107">
        <v>1</v>
      </c>
      <c r="N107">
        <v>164</v>
      </c>
      <c r="O107">
        <f t="shared" si="18"/>
        <v>0.36263736263736263</v>
      </c>
      <c r="P107">
        <v>106089.291200619</v>
      </c>
      <c r="Q107">
        <f t="shared" si="19"/>
        <v>1.4692757241569645</v>
      </c>
      <c r="R107">
        <v>9.8874436999903992</v>
      </c>
      <c r="S107">
        <v>68</v>
      </c>
      <c r="T107">
        <f t="shared" si="20"/>
        <v>0.15164835164835164</v>
      </c>
      <c r="U107">
        <v>96668.022746130897</v>
      </c>
      <c r="V107">
        <f t="shared" si="21"/>
        <v>1.3387965695289203</v>
      </c>
      <c r="W107">
        <v>2.9292505000485098</v>
      </c>
      <c r="X107" t="str">
        <f>IF(H107=MIN(H107,P107,U107),"Christofides",IF(P107=MIN(H107,P107,U107),"Arithmetic Series","Nearest Neighbor"))</f>
        <v>Nearest Neighbor</v>
      </c>
      <c r="Y107">
        <f t="shared" si="22"/>
        <v>96668.022746130897</v>
      </c>
      <c r="Z107">
        <f t="shared" si="23"/>
        <v>1.3387965695289203</v>
      </c>
      <c r="AA107">
        <v>1634</v>
      </c>
      <c r="AB107">
        <v>4286</v>
      </c>
      <c r="AC107">
        <f t="shared" si="24"/>
        <v>0.38124125058329444</v>
      </c>
      <c r="AD107">
        <v>0</v>
      </c>
      <c r="AE107">
        <v>96563.097640316206</v>
      </c>
      <c r="AF107">
        <v>690</v>
      </c>
      <c r="AG107">
        <f t="shared" si="25"/>
        <v>0.16098926738217453</v>
      </c>
      <c r="AH107" s="1">
        <v>1.45519152283668E-10</v>
      </c>
      <c r="AI107" s="4">
        <v>95983.887203285805</v>
      </c>
      <c r="AJ107" s="4">
        <v>2677</v>
      </c>
      <c r="AK107" s="4">
        <f t="shared" si="26"/>
        <v>0.62459169388707414</v>
      </c>
      <c r="AL107">
        <v>95983.887203285703</v>
      </c>
      <c r="AM107">
        <f t="shared" si="27"/>
        <v>1.3293216853652157</v>
      </c>
      <c r="AN107">
        <v>0.88036740000825298</v>
      </c>
      <c r="AO107">
        <v>0</v>
      </c>
      <c r="AP107">
        <f t="shared" si="28"/>
        <v>0</v>
      </c>
      <c r="AQ107">
        <v>96668.022746130897</v>
      </c>
      <c r="AR107">
        <f t="shared" si="29"/>
        <v>1.3387965695289203</v>
      </c>
      <c r="AS107">
        <v>68.381965200067498</v>
      </c>
      <c r="AT107">
        <v>95</v>
      </c>
      <c r="AU107">
        <f t="shared" si="30"/>
        <v>0.95</v>
      </c>
      <c r="AV107">
        <v>96539.6426498246</v>
      </c>
      <c r="AW107">
        <f t="shared" si="31"/>
        <v>1.3370185789623599</v>
      </c>
      <c r="AX107">
        <v>58.691789700067602</v>
      </c>
      <c r="AY107" t="str">
        <f>IF(AL107=MIN(AL107,AQ107,AV107),"Simulated Annealing",IF(AQ107=MIN(AL107,AQ107,AV107),"Ant Colony Optimization","Genetic Algorithm"))</f>
        <v>Simulated Annealing</v>
      </c>
      <c r="AZ107">
        <f>MIN(AL107,AQ107,AV107)</f>
        <v>95983.887203285703</v>
      </c>
      <c r="BA107">
        <f>AZ107/F107</f>
        <v>1.3293216853652157</v>
      </c>
      <c r="BB107">
        <v>88933.889040151</v>
      </c>
      <c r="BC107">
        <f>BB107/F107</f>
        <v>1.2316832617390565</v>
      </c>
      <c r="BD107">
        <v>0.112</v>
      </c>
      <c r="BE107">
        <v>5</v>
      </c>
      <c r="BF107">
        <v>5.0519999999999996</v>
      </c>
    </row>
    <row r="108" spans="1:58" x14ac:dyDescent="0.3">
      <c r="A108">
        <v>107</v>
      </c>
      <c r="B108">
        <v>465</v>
      </c>
      <c r="C108">
        <v>6.0817298814843601E-2</v>
      </c>
      <c r="D108">
        <v>0.106366257740948</v>
      </c>
      <c r="E108">
        <f t="shared" si="16"/>
        <v>0.32613840273869621</v>
      </c>
      <c r="F108">
        <v>72453.799351532405</v>
      </c>
      <c r="G108">
        <v>10.762872499995799</v>
      </c>
      <c r="H108">
        <v>96049.803035399105</v>
      </c>
      <c r="I108">
        <f t="shared" si="17"/>
        <v>1.3256696528691789</v>
      </c>
      <c r="J108">
        <v>1.46579719998408</v>
      </c>
      <c r="K108">
        <v>1647999.8670298499</v>
      </c>
      <c r="L108" t="s">
        <v>44</v>
      </c>
      <c r="M108" t="s">
        <v>37</v>
      </c>
      <c r="N108">
        <v>58</v>
      </c>
      <c r="O108">
        <f t="shared" si="18"/>
        <v>0.12688172043010754</v>
      </c>
      <c r="P108">
        <v>102554.58351586699</v>
      </c>
      <c r="Q108">
        <f t="shared" si="19"/>
        <v>1.4154479742089323</v>
      </c>
      <c r="R108">
        <v>10.762872499995799</v>
      </c>
      <c r="S108">
        <v>261</v>
      </c>
      <c r="T108">
        <f t="shared" si="20"/>
        <v>0.5634408602150538</v>
      </c>
      <c r="U108">
        <v>96833.644778017697</v>
      </c>
      <c r="V108">
        <f t="shared" si="21"/>
        <v>1.3364881572075855</v>
      </c>
      <c r="W108">
        <v>3.18018199992366</v>
      </c>
      <c r="X108" t="str">
        <f>IF(H108=MIN(H108,P108,U108),"Christofides",IF(P108=MIN(H108,P108,U108),"Arithmetic Series","Nearest Neighbor"))</f>
        <v>Christofides</v>
      </c>
      <c r="Y108">
        <f t="shared" si="22"/>
        <v>96049.803035399105</v>
      </c>
      <c r="Z108">
        <f t="shared" si="23"/>
        <v>1.3256696528691789</v>
      </c>
      <c r="AA108">
        <v>2557</v>
      </c>
      <c r="AB108">
        <v>4288</v>
      </c>
      <c r="AC108">
        <f t="shared" si="24"/>
        <v>0.59631529850746268</v>
      </c>
      <c r="AD108">
        <v>0</v>
      </c>
      <c r="AE108">
        <v>96049.803035399105</v>
      </c>
      <c r="AF108">
        <v>803</v>
      </c>
      <c r="AG108">
        <f t="shared" si="25"/>
        <v>0.18726679104477612</v>
      </c>
      <c r="AH108" s="1">
        <v>1.45519152283668E-11</v>
      </c>
      <c r="AI108" s="4">
        <v>96049.803035399105</v>
      </c>
      <c r="AJ108" s="4">
        <v>803</v>
      </c>
      <c r="AK108" s="4">
        <f t="shared" si="26"/>
        <v>0.18726679104477612</v>
      </c>
      <c r="AL108">
        <v>95389.144452179404</v>
      </c>
      <c r="AM108">
        <f t="shared" si="27"/>
        <v>1.316551310019906</v>
      </c>
      <c r="AN108">
        <v>0.84555590001400505</v>
      </c>
      <c r="AO108">
        <v>1</v>
      </c>
      <c r="AP108">
        <f t="shared" si="28"/>
        <v>0.1</v>
      </c>
      <c r="AQ108">
        <v>96049.803035399105</v>
      </c>
      <c r="AR108">
        <f t="shared" si="29"/>
        <v>1.3256696528691789</v>
      </c>
      <c r="AS108">
        <v>72.360658899997304</v>
      </c>
      <c r="AT108">
        <v>8</v>
      </c>
      <c r="AU108">
        <f t="shared" si="30"/>
        <v>0.08</v>
      </c>
      <c r="AV108">
        <v>96047.179083928393</v>
      </c>
      <c r="AW108">
        <f t="shared" si="31"/>
        <v>1.3256334373567531</v>
      </c>
      <c r="AX108">
        <v>64.117776399943907</v>
      </c>
      <c r="AY108" t="str">
        <f>IF(AL108=MIN(AL108,AQ108,AV108),"Simulated Annealing",IF(AQ108=MIN(AL108,AQ108,AV108),"Ant Colony Optimization","Genetic Algorithm"))</f>
        <v>Simulated Annealing</v>
      </c>
      <c r="AZ108">
        <f>MIN(AL108,AQ108,AV108)</f>
        <v>95389.144452179404</v>
      </c>
      <c r="BA108">
        <f>AZ108/F108</f>
        <v>1.316551310019906</v>
      </c>
      <c r="BB108">
        <v>88338.579768698197</v>
      </c>
      <c r="BC108">
        <f>BB108/F108</f>
        <v>1.2192401303911722</v>
      </c>
      <c r="BD108">
        <v>0.112</v>
      </c>
      <c r="BE108">
        <v>5</v>
      </c>
      <c r="BF108">
        <v>5</v>
      </c>
    </row>
    <row r="109" spans="1:58" x14ac:dyDescent="0.3">
      <c r="A109">
        <v>108</v>
      </c>
      <c r="B109">
        <v>475</v>
      </c>
      <c r="C109">
        <v>5.9395639084007801E-2</v>
      </c>
      <c r="D109">
        <v>0.222611819674911</v>
      </c>
      <c r="E109">
        <f t="shared" si="16"/>
        <v>0.47181757033297417</v>
      </c>
      <c r="F109">
        <v>71620.811023833594</v>
      </c>
      <c r="G109">
        <v>11.217514800024199</v>
      </c>
      <c r="H109">
        <v>93862.904333550803</v>
      </c>
      <c r="I109">
        <f t="shared" si="17"/>
        <v>1.3105534968364936</v>
      </c>
      <c r="J109">
        <v>1.5518988999538099</v>
      </c>
      <c r="K109">
        <v>1726641.2190113701</v>
      </c>
      <c r="L109" t="s">
        <v>44</v>
      </c>
      <c r="M109">
        <v>0</v>
      </c>
      <c r="N109">
        <v>157</v>
      </c>
      <c r="O109">
        <f t="shared" si="18"/>
        <v>0.33263157894736844</v>
      </c>
      <c r="P109">
        <v>104014.707423582</v>
      </c>
      <c r="Q109">
        <f t="shared" si="19"/>
        <v>1.4522972574126332</v>
      </c>
      <c r="R109">
        <v>11.217514800024199</v>
      </c>
      <c r="S109">
        <v>130</v>
      </c>
      <c r="T109">
        <f t="shared" si="20"/>
        <v>0.27578947368421053</v>
      </c>
      <c r="U109">
        <v>93583.6591257338</v>
      </c>
      <c r="V109">
        <f t="shared" si="21"/>
        <v>1.3066545573547266</v>
      </c>
      <c r="W109">
        <v>3.6121629000408499</v>
      </c>
      <c r="X109" t="str">
        <f>IF(H109=MIN(H109,P109,U109),"Christofides",IF(P109=MIN(H109,P109,U109),"Arithmetic Series","Nearest Neighbor"))</f>
        <v>Nearest Neighbor</v>
      </c>
      <c r="Y109">
        <f t="shared" si="22"/>
        <v>93583.6591257338</v>
      </c>
      <c r="Z109">
        <f t="shared" si="23"/>
        <v>1.3066545573547266</v>
      </c>
      <c r="AA109">
        <v>4275</v>
      </c>
      <c r="AB109">
        <v>4290</v>
      </c>
      <c r="AC109">
        <f t="shared" si="24"/>
        <v>0.99650349650349646</v>
      </c>
      <c r="AD109">
        <v>0</v>
      </c>
      <c r="AE109">
        <v>92375.824725574596</v>
      </c>
      <c r="AF109">
        <v>2155</v>
      </c>
      <c r="AG109">
        <f t="shared" si="25"/>
        <v>0.50233100233100236</v>
      </c>
      <c r="AH109" s="1">
        <v>1.45519152283668E-11</v>
      </c>
      <c r="AI109" s="4">
        <v>92375.824725574596</v>
      </c>
      <c r="AJ109" s="4">
        <v>3453</v>
      </c>
      <c r="AK109" s="4">
        <f t="shared" si="26"/>
        <v>0.80489510489510485</v>
      </c>
      <c r="AL109">
        <v>92242.095797770395</v>
      </c>
      <c r="AM109">
        <f t="shared" si="27"/>
        <v>1.2879230837957778</v>
      </c>
      <c r="AN109">
        <v>0.87844839994795598</v>
      </c>
      <c r="AO109">
        <v>0</v>
      </c>
      <c r="AP109">
        <f t="shared" si="28"/>
        <v>0</v>
      </c>
      <c r="AQ109">
        <v>93583.6591257338</v>
      </c>
      <c r="AR109">
        <f t="shared" si="29"/>
        <v>1.3066545573547266</v>
      </c>
      <c r="AS109">
        <v>77.619320000056106</v>
      </c>
      <c r="AT109">
        <v>23</v>
      </c>
      <c r="AU109">
        <f t="shared" si="30"/>
        <v>0.23</v>
      </c>
      <c r="AV109">
        <v>93566.521689059198</v>
      </c>
      <c r="AW109">
        <f t="shared" si="31"/>
        <v>1.3064152772288857</v>
      </c>
      <c r="AX109">
        <v>68.900134800001894</v>
      </c>
      <c r="AY109" t="str">
        <f>IF(AL109=MIN(AL109,AQ109,AV109),"Simulated Annealing",IF(AQ109=MIN(AL109,AQ109,AV109),"Ant Colony Optimization","Genetic Algorithm"))</f>
        <v>Simulated Annealing</v>
      </c>
      <c r="AZ109">
        <f>MIN(AL109,AQ109,AV109)</f>
        <v>92242.095797770395</v>
      </c>
      <c r="BA109">
        <f>AZ109/F109</f>
        <v>1.2879230837957778</v>
      </c>
      <c r="BB109">
        <v>89261.077908895997</v>
      </c>
      <c r="BC109">
        <f>BB109/F109</f>
        <v>1.2463008535213622</v>
      </c>
      <c r="BD109">
        <v>9.6000000000000002E-2</v>
      </c>
      <c r="BE109">
        <v>5</v>
      </c>
      <c r="BF109">
        <v>5.0439999999999996</v>
      </c>
    </row>
    <row r="110" spans="1:58" x14ac:dyDescent="0.3">
      <c r="A110">
        <v>109</v>
      </c>
      <c r="B110">
        <v>485</v>
      </c>
      <c r="C110">
        <v>5.7824324864191999E-2</v>
      </c>
      <c r="D110">
        <v>0.125990653469983</v>
      </c>
      <c r="E110">
        <f t="shared" si="16"/>
        <v>0.35495162130913421</v>
      </c>
      <c r="F110">
        <v>72976.397659046095</v>
      </c>
      <c r="G110">
        <v>11.75293279998</v>
      </c>
      <c r="H110">
        <v>98667.312691986197</v>
      </c>
      <c r="I110">
        <f t="shared" si="17"/>
        <v>1.3520441657448061</v>
      </c>
      <c r="J110">
        <v>1.51874720002524</v>
      </c>
      <c r="K110">
        <v>1807249.3625042399</v>
      </c>
      <c r="L110" t="s">
        <v>44</v>
      </c>
      <c r="M110">
        <v>1</v>
      </c>
      <c r="N110">
        <v>326</v>
      </c>
      <c r="O110">
        <f t="shared" si="18"/>
        <v>0.67422680412371139</v>
      </c>
      <c r="P110">
        <v>102340.666163681</v>
      </c>
      <c r="Q110">
        <f t="shared" si="19"/>
        <v>1.4023803509982509</v>
      </c>
      <c r="R110">
        <v>11.75293279998</v>
      </c>
      <c r="S110">
        <v>212</v>
      </c>
      <c r="T110">
        <f t="shared" si="20"/>
        <v>0.43917525773195876</v>
      </c>
      <c r="U110">
        <v>99701.3425216084</v>
      </c>
      <c r="V110">
        <f t="shared" si="21"/>
        <v>1.3662135391695305</v>
      </c>
      <c r="W110">
        <v>3.41567600006237</v>
      </c>
      <c r="X110" t="str">
        <f>IF(H110=MIN(H110,P110,U110),"Christofides",IF(P110=MIN(H110,P110,U110),"Arithmetic Series","Nearest Neighbor"))</f>
        <v>Christofides</v>
      </c>
      <c r="Y110">
        <f t="shared" si="22"/>
        <v>98667.312691986197</v>
      </c>
      <c r="Z110">
        <f t="shared" si="23"/>
        <v>1.3520441657448061</v>
      </c>
      <c r="AA110">
        <v>4173</v>
      </c>
      <c r="AB110">
        <v>4292</v>
      </c>
      <c r="AC110">
        <f t="shared" si="24"/>
        <v>0.97227399813606707</v>
      </c>
      <c r="AD110">
        <v>0</v>
      </c>
      <c r="AE110">
        <v>98667.312691986299</v>
      </c>
      <c r="AF110">
        <v>332</v>
      </c>
      <c r="AG110">
        <f t="shared" si="25"/>
        <v>7.7353215284249766E-2</v>
      </c>
      <c r="AH110" s="1">
        <v>1.7462298274040199E-10</v>
      </c>
      <c r="AI110" s="4">
        <v>98660.258835598201</v>
      </c>
      <c r="AJ110" s="4">
        <v>405</v>
      </c>
      <c r="AK110" s="4">
        <f t="shared" si="26"/>
        <v>9.4361602982292639E-2</v>
      </c>
      <c r="AL110">
        <v>98222.094883829704</v>
      </c>
      <c r="AM110">
        <f t="shared" si="27"/>
        <v>1.3459433191363368</v>
      </c>
      <c r="AN110">
        <v>0.93209969997405995</v>
      </c>
      <c r="AO110">
        <v>4</v>
      </c>
      <c r="AP110">
        <f t="shared" si="28"/>
        <v>0.4</v>
      </c>
      <c r="AQ110">
        <v>98637.823173254495</v>
      </c>
      <c r="AR110">
        <f t="shared" si="29"/>
        <v>1.3516400690823553</v>
      </c>
      <c r="AS110">
        <v>82.158568299957494</v>
      </c>
      <c r="AT110">
        <v>97</v>
      </c>
      <c r="AU110">
        <f t="shared" si="30"/>
        <v>0.97</v>
      </c>
      <c r="AV110">
        <v>98639.045287162706</v>
      </c>
      <c r="AW110">
        <f t="shared" si="31"/>
        <v>1.3516568157833082</v>
      </c>
      <c r="AX110">
        <v>73.054220700054401</v>
      </c>
      <c r="AY110" t="str">
        <f>IF(AL110=MIN(AL110,AQ110,AV110),"Simulated Annealing",IF(AQ110=MIN(AL110,AQ110,AV110),"Ant Colony Optimization","Genetic Algorithm"))</f>
        <v>Simulated Annealing</v>
      </c>
      <c r="AZ110">
        <f>MIN(AL110,AQ110,AV110)</f>
        <v>98222.094883829704</v>
      </c>
      <c r="BA110">
        <f>AZ110/F110</f>
        <v>1.3459433191363368</v>
      </c>
      <c r="BB110">
        <v>91698.328779027797</v>
      </c>
      <c r="BC110">
        <f>BB110/F110</f>
        <v>1.2565477568165622</v>
      </c>
      <c r="BD110">
        <v>0.112</v>
      </c>
      <c r="BE110">
        <v>5</v>
      </c>
      <c r="BF110">
        <v>5</v>
      </c>
    </row>
    <row r="111" spans="1:58" x14ac:dyDescent="0.3">
      <c r="A111">
        <v>110</v>
      </c>
      <c r="B111">
        <v>495</v>
      </c>
      <c r="C111">
        <v>5.4375854391238203E-2</v>
      </c>
      <c r="D111">
        <v>6.7282821015037603E-2</v>
      </c>
      <c r="E111">
        <f t="shared" si="16"/>
        <v>0.25938932324796565</v>
      </c>
      <c r="F111">
        <v>74443.004440660894</v>
      </c>
      <c r="G111">
        <v>12.4522368999896</v>
      </c>
      <c r="H111">
        <v>98605.269727149906</v>
      </c>
      <c r="I111">
        <f t="shared" si="17"/>
        <v>1.3245740209981576</v>
      </c>
      <c r="J111">
        <v>1.62129539996385</v>
      </c>
      <c r="K111">
        <v>1889829.96970354</v>
      </c>
      <c r="L111" t="s">
        <v>44</v>
      </c>
      <c r="M111">
        <v>0</v>
      </c>
      <c r="N111">
        <v>236</v>
      </c>
      <c r="O111">
        <f t="shared" si="18"/>
        <v>0.47878787878787876</v>
      </c>
      <c r="P111">
        <v>99078.347942411303</v>
      </c>
      <c r="Q111">
        <f t="shared" si="19"/>
        <v>1.3309289259192574</v>
      </c>
      <c r="R111">
        <v>12.4522368999896</v>
      </c>
      <c r="S111">
        <v>391</v>
      </c>
      <c r="T111">
        <f t="shared" si="20"/>
        <v>0.79191919191919191</v>
      </c>
      <c r="U111">
        <v>96701.606763534699</v>
      </c>
      <c r="V111">
        <f t="shared" si="21"/>
        <v>1.2990019343001706</v>
      </c>
      <c r="W111">
        <v>3.8963964999420502</v>
      </c>
      <c r="X111" t="str">
        <f>IF(H111=MIN(H111,P111,U111),"Christofides",IF(P111=MIN(H111,P111,U111),"Arithmetic Series","Nearest Neighbor"))</f>
        <v>Nearest Neighbor</v>
      </c>
      <c r="Y111">
        <f t="shared" si="22"/>
        <v>96701.606763534699</v>
      </c>
      <c r="Z111">
        <f t="shared" si="23"/>
        <v>1.2990019343001706</v>
      </c>
      <c r="AA111">
        <v>3945</v>
      </c>
      <c r="AB111">
        <v>4294</v>
      </c>
      <c r="AC111">
        <f t="shared" si="24"/>
        <v>0.91872380065207271</v>
      </c>
      <c r="AD111">
        <v>0</v>
      </c>
      <c r="AE111">
        <v>96701.606763534699</v>
      </c>
      <c r="AF111">
        <v>32</v>
      </c>
      <c r="AG111">
        <f t="shared" si="25"/>
        <v>7.4522589659990687E-3</v>
      </c>
      <c r="AH111" s="1">
        <v>5.8207660913467401E-11</v>
      </c>
      <c r="AI111" s="4">
        <v>96701.606763534699</v>
      </c>
      <c r="AJ111" s="4">
        <v>1018</v>
      </c>
      <c r="AK111" s="4">
        <f t="shared" si="26"/>
        <v>0.23707498835584537</v>
      </c>
      <c r="AL111">
        <v>95487.8187786997</v>
      </c>
      <c r="AM111">
        <f t="shared" si="27"/>
        <v>1.2826970041867909</v>
      </c>
      <c r="AN111">
        <v>0.956906999927014</v>
      </c>
      <c r="AO111">
        <v>10</v>
      </c>
      <c r="AP111">
        <f t="shared" si="28"/>
        <v>1</v>
      </c>
      <c r="AQ111">
        <v>96182.819725934198</v>
      </c>
      <c r="AR111">
        <f t="shared" si="29"/>
        <v>1.2920330183960036</v>
      </c>
      <c r="AS111">
        <v>87.683663000003406</v>
      </c>
      <c r="AT111">
        <v>36</v>
      </c>
      <c r="AU111">
        <f t="shared" si="30"/>
        <v>0.36</v>
      </c>
      <c r="AV111">
        <v>96616.4187755108</v>
      </c>
      <c r="AW111">
        <f t="shared" si="31"/>
        <v>1.2978575959078131</v>
      </c>
      <c r="AX111">
        <v>77.208735799998905</v>
      </c>
      <c r="AY111" t="str">
        <f>IF(AL111=MIN(AL111,AQ111,AV111),"Simulated Annealing",IF(AQ111=MIN(AL111,AQ111,AV111),"Ant Colony Optimization","Genetic Algorithm"))</f>
        <v>Simulated Annealing</v>
      </c>
      <c r="AZ111">
        <f>MIN(AL111,AQ111,AV111)</f>
        <v>95487.8187786997</v>
      </c>
      <c r="BA111">
        <f>AZ111/F111</f>
        <v>1.2826970041867909</v>
      </c>
      <c r="BB111">
        <v>94813.710222142894</v>
      </c>
      <c r="BC111">
        <f>BB111/F111</f>
        <v>1.2736416394601544</v>
      </c>
      <c r="BD111">
        <v>0.112</v>
      </c>
      <c r="BE111">
        <v>5</v>
      </c>
      <c r="BF111">
        <v>5.0010000000000003</v>
      </c>
    </row>
    <row r="112" spans="1:58" x14ac:dyDescent="0.3">
      <c r="A112">
        <v>111</v>
      </c>
      <c r="B112">
        <v>505</v>
      </c>
      <c r="C112">
        <v>5.3593257166867699E-2</v>
      </c>
      <c r="D112">
        <v>0.26136857354773302</v>
      </c>
      <c r="E112">
        <f t="shared" si="16"/>
        <v>0.51124218678404565</v>
      </c>
      <c r="F112">
        <v>77581.210312505704</v>
      </c>
      <c r="G112">
        <v>12.845639199949799</v>
      </c>
      <c r="H112">
        <v>101175.889923539</v>
      </c>
      <c r="I112">
        <f t="shared" si="17"/>
        <v>1.3041287898963074</v>
      </c>
      <c r="J112">
        <v>1.7333041999954699</v>
      </c>
      <c r="K112">
        <v>1974384.67872916</v>
      </c>
      <c r="L112" t="s">
        <v>44</v>
      </c>
      <c r="M112" t="s">
        <v>37</v>
      </c>
      <c r="N112">
        <v>398</v>
      </c>
      <c r="O112">
        <f t="shared" si="18"/>
        <v>0.79009900990099013</v>
      </c>
      <c r="P112">
        <v>109521.577922214</v>
      </c>
      <c r="Q112">
        <f t="shared" si="19"/>
        <v>1.411702362995485</v>
      </c>
      <c r="R112">
        <v>12.845639199949799</v>
      </c>
      <c r="S112">
        <v>190</v>
      </c>
      <c r="T112">
        <f t="shared" si="20"/>
        <v>0.37821782178217822</v>
      </c>
      <c r="U112">
        <v>99904.087919275698</v>
      </c>
      <c r="V112">
        <f t="shared" si="21"/>
        <v>1.2877356194476854</v>
      </c>
      <c r="W112">
        <v>3.8533701000269498</v>
      </c>
      <c r="X112" t="str">
        <f>IF(H112=MIN(H112,P112,U112),"Christofides",IF(P112=MIN(H112,P112,U112),"Arithmetic Series","Nearest Neighbor"))</f>
        <v>Nearest Neighbor</v>
      </c>
      <c r="Y112">
        <f t="shared" si="22"/>
        <v>99904.087919275698</v>
      </c>
      <c r="Z112">
        <f t="shared" si="23"/>
        <v>1.2877356194476854</v>
      </c>
      <c r="AA112">
        <v>4120</v>
      </c>
      <c r="AB112">
        <v>4296</v>
      </c>
      <c r="AC112">
        <f t="shared" si="24"/>
        <v>0.95903165735567975</v>
      </c>
      <c r="AD112">
        <v>0</v>
      </c>
      <c r="AE112">
        <v>99873.823968504599</v>
      </c>
      <c r="AF112">
        <v>474</v>
      </c>
      <c r="AG112">
        <f t="shared" si="25"/>
        <v>0.11033519553072625</v>
      </c>
      <c r="AH112" s="1">
        <v>4.3655745685100497E-11</v>
      </c>
      <c r="AI112" s="4">
        <v>99873.823968504599</v>
      </c>
      <c r="AJ112" s="4">
        <v>474</v>
      </c>
      <c r="AK112" s="4">
        <f t="shared" si="26"/>
        <v>0.11033519553072625</v>
      </c>
      <c r="AL112">
        <v>99688.712304932604</v>
      </c>
      <c r="AM112">
        <f t="shared" si="27"/>
        <v>1.2849594883010389</v>
      </c>
      <c r="AN112">
        <v>0.95136399997863896</v>
      </c>
      <c r="AO112">
        <v>1</v>
      </c>
      <c r="AP112">
        <f t="shared" si="28"/>
        <v>0.1</v>
      </c>
      <c r="AQ112">
        <v>99904.087919275698</v>
      </c>
      <c r="AR112">
        <f t="shared" si="29"/>
        <v>1.2877356194476854</v>
      </c>
      <c r="AS112">
        <v>92.331723700044606</v>
      </c>
      <c r="AT112">
        <v>13</v>
      </c>
      <c r="AU112">
        <f t="shared" si="30"/>
        <v>0.13</v>
      </c>
      <c r="AV112">
        <v>99903.635515926406</v>
      </c>
      <c r="AW112">
        <f t="shared" si="31"/>
        <v>1.287729788095642</v>
      </c>
      <c r="AX112">
        <v>82.490925500052896</v>
      </c>
      <c r="AY112" t="str">
        <f>IF(AL112=MIN(AL112,AQ112,AV112),"Simulated Annealing",IF(AQ112=MIN(AL112,AQ112,AV112),"Ant Colony Optimization","Genetic Algorithm"))</f>
        <v>Simulated Annealing</v>
      </c>
      <c r="AZ112">
        <f>MIN(AL112,AQ112,AV112)</f>
        <v>99688.712304932604</v>
      </c>
      <c r="BA112">
        <f>AZ112/F112</f>
        <v>1.2849594883010389</v>
      </c>
      <c r="BB112">
        <v>98862.979851179407</v>
      </c>
      <c r="BC112">
        <f>BB112/F112</f>
        <v>1.274316029009452</v>
      </c>
      <c r="BD112">
        <v>0.112</v>
      </c>
      <c r="BE112">
        <v>5</v>
      </c>
      <c r="BF112">
        <v>5</v>
      </c>
    </row>
    <row r="113" spans="1:58" x14ac:dyDescent="0.3">
      <c r="A113">
        <v>112</v>
      </c>
      <c r="B113">
        <v>515</v>
      </c>
      <c r="C113">
        <v>5.18717597394227E-2</v>
      </c>
      <c r="D113">
        <v>0.30751068816656901</v>
      </c>
      <c r="E113">
        <f t="shared" si="16"/>
        <v>0.55453646243197485</v>
      </c>
      <c r="F113">
        <v>75167.166235412704</v>
      </c>
      <c r="G113">
        <v>14.078542499919401</v>
      </c>
      <c r="H113">
        <v>101133.223893573</v>
      </c>
      <c r="I113">
        <f t="shared" si="17"/>
        <v>1.3454441474730916</v>
      </c>
      <c r="J113">
        <v>1.8270613000495299</v>
      </c>
      <c r="K113">
        <v>2060929.4178377299</v>
      </c>
      <c r="L113" t="s">
        <v>44</v>
      </c>
      <c r="M113" t="s">
        <v>37</v>
      </c>
      <c r="N113">
        <v>286</v>
      </c>
      <c r="O113">
        <f t="shared" si="18"/>
        <v>0.55728155339805829</v>
      </c>
      <c r="P113">
        <v>103446.64595840999</v>
      </c>
      <c r="Q113">
        <f t="shared" si="19"/>
        <v>1.3762211766029604</v>
      </c>
      <c r="R113">
        <v>14.078542499919401</v>
      </c>
      <c r="S113">
        <v>291</v>
      </c>
      <c r="T113">
        <f t="shared" si="20"/>
        <v>0.56699029126213596</v>
      </c>
      <c r="U113">
        <v>98176.668931092107</v>
      </c>
      <c r="V113">
        <f t="shared" si="21"/>
        <v>1.3061110834432279</v>
      </c>
      <c r="W113">
        <v>4.1495602000504697</v>
      </c>
      <c r="X113" t="str">
        <f>IF(H113=MIN(H113,P113,U113),"Christofides",IF(P113=MIN(H113,P113,U113),"Arithmetic Series","Nearest Neighbor"))</f>
        <v>Nearest Neighbor</v>
      </c>
      <c r="Y113">
        <f t="shared" si="22"/>
        <v>98176.668931092107</v>
      </c>
      <c r="Z113">
        <f t="shared" si="23"/>
        <v>1.3061110834432279</v>
      </c>
      <c r="AA113">
        <v>4026</v>
      </c>
      <c r="AB113">
        <v>4298</v>
      </c>
      <c r="AC113">
        <f t="shared" si="24"/>
        <v>0.93671475104699864</v>
      </c>
      <c r="AD113">
        <v>0</v>
      </c>
      <c r="AE113">
        <v>98177.9593812854</v>
      </c>
      <c r="AF113">
        <v>354</v>
      </c>
      <c r="AG113">
        <f t="shared" si="25"/>
        <v>8.2363890181479757E-2</v>
      </c>
      <c r="AH113">
        <v>1.2904501933080601</v>
      </c>
      <c r="AI113" s="4">
        <v>98177.9593812854</v>
      </c>
      <c r="AJ113" s="4">
        <v>354</v>
      </c>
      <c r="AK113" s="4">
        <f t="shared" si="26"/>
        <v>8.2363890181479757E-2</v>
      </c>
      <c r="AL113">
        <v>97413.946163742105</v>
      </c>
      <c r="AM113">
        <f t="shared" si="27"/>
        <v>1.2959640630678519</v>
      </c>
      <c r="AN113">
        <v>0.98958719999063705</v>
      </c>
      <c r="AO113">
        <v>0</v>
      </c>
      <c r="AP113">
        <f t="shared" si="28"/>
        <v>0</v>
      </c>
      <c r="AQ113">
        <v>98176.668931092107</v>
      </c>
      <c r="AR113">
        <f t="shared" si="29"/>
        <v>1.3061110834432279</v>
      </c>
      <c r="AS113">
        <v>95.517369900015098</v>
      </c>
      <c r="AT113">
        <v>15</v>
      </c>
      <c r="AU113">
        <f t="shared" si="30"/>
        <v>0.15</v>
      </c>
      <c r="AV113">
        <v>97991.402287039906</v>
      </c>
      <c r="AW113">
        <f t="shared" si="31"/>
        <v>1.3036463551139468</v>
      </c>
      <c r="AX113">
        <v>87.399848900036801</v>
      </c>
      <c r="AY113" t="str">
        <f>IF(AL113=MIN(AL113,AQ113,AV113),"Simulated Annealing",IF(AQ113=MIN(AL113,AQ113,AV113),"Ant Colony Optimization","Genetic Algorithm"))</f>
        <v>Simulated Annealing</v>
      </c>
      <c r="AZ113">
        <f>MIN(AL113,AQ113,AV113)</f>
        <v>97413.946163742105</v>
      </c>
      <c r="BA113">
        <f>AZ113/F113</f>
        <v>1.2959640630678519</v>
      </c>
      <c r="BB113">
        <v>97328.965766883804</v>
      </c>
      <c r="BC113">
        <f>BB113/F113</f>
        <v>1.2948335109782314</v>
      </c>
      <c r="BD113">
        <v>0.128</v>
      </c>
      <c r="BE113">
        <v>5</v>
      </c>
      <c r="BF113">
        <v>5.03</v>
      </c>
    </row>
    <row r="114" spans="1:58" x14ac:dyDescent="0.3">
      <c r="A114">
        <v>113</v>
      </c>
      <c r="B114">
        <v>525</v>
      </c>
      <c r="C114">
        <v>4.8770042051787803E-2</v>
      </c>
      <c r="D114">
        <v>5.3475292968490899E-2</v>
      </c>
      <c r="E114">
        <f t="shared" si="16"/>
        <v>0.231247255050716</v>
      </c>
      <c r="F114">
        <v>75664.071971138197</v>
      </c>
      <c r="G114">
        <v>14.368916300008999</v>
      </c>
      <c r="H114">
        <v>99885.075975985194</v>
      </c>
      <c r="I114">
        <f t="shared" si="17"/>
        <v>1.3201123515277635</v>
      </c>
      <c r="J114">
        <v>1.8650038000196201</v>
      </c>
      <c r="K114">
        <v>2149461.52472923</v>
      </c>
      <c r="L114" t="s">
        <v>44</v>
      </c>
      <c r="M114" t="s">
        <v>37</v>
      </c>
      <c r="N114">
        <v>366</v>
      </c>
      <c r="O114">
        <f t="shared" si="18"/>
        <v>0.69904761904761903</v>
      </c>
      <c r="P114">
        <v>108741.092712004</v>
      </c>
      <c r="Q114">
        <f t="shared" si="19"/>
        <v>1.4371562338527448</v>
      </c>
      <c r="R114">
        <v>14.368916300008999</v>
      </c>
      <c r="S114">
        <v>444</v>
      </c>
      <c r="T114">
        <f t="shared" si="20"/>
        <v>0.84761904761904761</v>
      </c>
      <c r="U114">
        <v>103673.66840946001</v>
      </c>
      <c r="V114">
        <f t="shared" si="21"/>
        <v>1.3701835720526114</v>
      </c>
      <c r="W114">
        <v>4.4212597999721703</v>
      </c>
      <c r="X114" t="str">
        <f>IF(H114=MIN(H114,P114,U114),"Christofides",IF(P114=MIN(H114,P114,U114),"Arithmetic Series","Nearest Neighbor"))</f>
        <v>Christofides</v>
      </c>
      <c r="Y114">
        <f t="shared" si="22"/>
        <v>99885.075975985194</v>
      </c>
      <c r="Z114">
        <f t="shared" si="23"/>
        <v>1.3201123515277635</v>
      </c>
      <c r="AA114">
        <v>4134</v>
      </c>
      <c r="AB114">
        <v>4300</v>
      </c>
      <c r="AC114">
        <f t="shared" si="24"/>
        <v>0.96139534883720934</v>
      </c>
      <c r="AD114">
        <v>0</v>
      </c>
      <c r="AE114">
        <v>99245.837980243101</v>
      </c>
      <c r="AF114">
        <v>1420</v>
      </c>
      <c r="AG114">
        <f t="shared" si="25"/>
        <v>0.33023255813953489</v>
      </c>
      <c r="AH114" s="1">
        <v>1.7462298274040199E-10</v>
      </c>
      <c r="AI114" s="4">
        <v>99245.837980243101</v>
      </c>
      <c r="AJ114" s="4">
        <v>1420</v>
      </c>
      <c r="AK114" s="4">
        <f t="shared" si="26"/>
        <v>0.33023255813953489</v>
      </c>
      <c r="AL114">
        <v>98960.811162715298</v>
      </c>
      <c r="AM114">
        <f t="shared" si="27"/>
        <v>1.3078969791695001</v>
      </c>
      <c r="AN114">
        <v>1.00571950001176</v>
      </c>
      <c r="AO114">
        <v>1</v>
      </c>
      <c r="AP114">
        <f t="shared" si="28"/>
        <v>0.1</v>
      </c>
      <c r="AQ114">
        <v>99885.075975985194</v>
      </c>
      <c r="AR114">
        <f t="shared" si="29"/>
        <v>1.3201123515277635</v>
      </c>
      <c r="AS114">
        <v>101.457317200023</v>
      </c>
      <c r="AT114">
        <v>94</v>
      </c>
      <c r="AU114">
        <f t="shared" si="30"/>
        <v>0.94</v>
      </c>
      <c r="AV114">
        <v>99870.008363272995</v>
      </c>
      <c r="AW114">
        <f t="shared" si="31"/>
        <v>1.3199132132535514</v>
      </c>
      <c r="AX114">
        <v>91.842151499935397</v>
      </c>
      <c r="AY114" t="str">
        <f>IF(AL114=MIN(AL114,AQ114,AV114),"Simulated Annealing",IF(AQ114=MIN(AL114,AQ114,AV114),"Ant Colony Optimization","Genetic Algorithm"))</f>
        <v>Simulated Annealing</v>
      </c>
      <c r="AZ114">
        <f>MIN(AL114,AQ114,AV114)</f>
        <v>98960.811162715298</v>
      </c>
      <c r="BA114">
        <f>AZ114/F114</f>
        <v>1.3078969791695001</v>
      </c>
      <c r="BB114">
        <v>99444.511307796696</v>
      </c>
      <c r="BC114">
        <f>BB114/F114</f>
        <v>1.3142897113141025</v>
      </c>
      <c r="BD114">
        <v>0.112</v>
      </c>
      <c r="BE114">
        <v>5</v>
      </c>
      <c r="BF114">
        <v>5</v>
      </c>
    </row>
    <row r="115" spans="1:58" x14ac:dyDescent="0.3">
      <c r="A115">
        <v>114</v>
      </c>
      <c r="B115">
        <v>535</v>
      </c>
      <c r="C115">
        <v>4.7986111863730203E-2</v>
      </c>
      <c r="D115">
        <v>0.197116887814792</v>
      </c>
      <c r="E115">
        <f t="shared" si="16"/>
        <v>0.44397847674723151</v>
      </c>
      <c r="F115">
        <v>77277.085328455505</v>
      </c>
      <c r="G115">
        <v>16.158277599955898</v>
      </c>
      <c r="H115">
        <v>100248.17603253201</v>
      </c>
      <c r="I115">
        <f t="shared" si="17"/>
        <v>1.2972561737601913</v>
      </c>
      <c r="J115">
        <v>1.9410957000218301</v>
      </c>
      <c r="K115">
        <v>2239991.2767543001</v>
      </c>
      <c r="L115" t="s">
        <v>44</v>
      </c>
      <c r="M115" t="s">
        <v>37</v>
      </c>
      <c r="N115">
        <v>242</v>
      </c>
      <c r="O115">
        <f t="shared" si="18"/>
        <v>0.45420560747663552</v>
      </c>
      <c r="P115">
        <v>112983.98047836599</v>
      </c>
      <c r="Q115">
        <f t="shared" si="19"/>
        <v>1.4620631717428691</v>
      </c>
      <c r="R115">
        <v>16.158277599955898</v>
      </c>
      <c r="S115">
        <v>293</v>
      </c>
      <c r="T115">
        <f t="shared" si="20"/>
        <v>0.54953271028037387</v>
      </c>
      <c r="U115">
        <v>105784.75399551399</v>
      </c>
      <c r="V115">
        <f t="shared" si="21"/>
        <v>1.3689019655165644</v>
      </c>
      <c r="W115">
        <v>4.6144219000125304</v>
      </c>
      <c r="X115" t="str">
        <f>IF(H115=MIN(H115,P115,U115),"Christofides",IF(P115=MIN(H115,P115,U115),"Arithmetic Series","Nearest Neighbor"))</f>
        <v>Christofides</v>
      </c>
      <c r="Y115">
        <f t="shared" si="22"/>
        <v>100248.17603253201</v>
      </c>
      <c r="Z115">
        <f t="shared" si="23"/>
        <v>1.2972561737601913</v>
      </c>
      <c r="AA115">
        <v>3890</v>
      </c>
      <c r="AB115">
        <v>4302</v>
      </c>
      <c r="AC115">
        <f t="shared" si="24"/>
        <v>0.90423059042305909</v>
      </c>
      <c r="AD115">
        <v>0</v>
      </c>
      <c r="AE115">
        <v>100248.17603253201</v>
      </c>
      <c r="AF115">
        <v>399</v>
      </c>
      <c r="AG115">
        <f t="shared" si="25"/>
        <v>9.2747559274755934E-2</v>
      </c>
      <c r="AH115" s="1">
        <v>1.6007106751203501E-10</v>
      </c>
      <c r="AI115" s="4">
        <v>100248.17603253201</v>
      </c>
      <c r="AJ115" s="4">
        <v>399</v>
      </c>
      <c r="AK115" s="4">
        <f t="shared" si="26"/>
        <v>9.2747559274755934E-2</v>
      </c>
      <c r="AL115">
        <v>99723.003094626605</v>
      </c>
      <c r="AM115">
        <f t="shared" si="27"/>
        <v>1.2904602013749333</v>
      </c>
      <c r="AN115">
        <v>0.98364099999889698</v>
      </c>
      <c r="AO115">
        <v>1</v>
      </c>
      <c r="AP115">
        <f t="shared" si="28"/>
        <v>0.1</v>
      </c>
      <c r="AQ115">
        <v>100248.17603253201</v>
      </c>
      <c r="AR115">
        <f t="shared" si="29"/>
        <v>1.2972561737601913</v>
      </c>
      <c r="AS115">
        <v>104.212999799987</v>
      </c>
      <c r="AT115">
        <v>25</v>
      </c>
      <c r="AU115">
        <f t="shared" si="30"/>
        <v>0.25</v>
      </c>
      <c r="AV115">
        <v>100200.440668892</v>
      </c>
      <c r="AW115">
        <f t="shared" si="31"/>
        <v>1.2966384568336651</v>
      </c>
      <c r="AX115">
        <v>95.736422399990204</v>
      </c>
      <c r="AY115" t="str">
        <f>IF(AL115=MIN(AL115,AQ115,AV115),"Simulated Annealing",IF(AQ115=MIN(AL115,AQ115,AV115),"Ant Colony Optimization","Genetic Algorithm"))</f>
        <v>Simulated Annealing</v>
      </c>
      <c r="AZ115">
        <f>MIN(AL115,AQ115,AV115)</f>
        <v>99723.003094626605</v>
      </c>
      <c r="BA115">
        <f>AZ115/F115</f>
        <v>1.2904602013749333</v>
      </c>
      <c r="BB115">
        <v>102592.20887617199</v>
      </c>
      <c r="BC115">
        <f>BB115/F115</f>
        <v>1.3275890057203643</v>
      </c>
      <c r="BD115">
        <v>0.112</v>
      </c>
      <c r="BE115">
        <v>5</v>
      </c>
      <c r="BF115">
        <v>5.0759999999999996</v>
      </c>
    </row>
    <row r="116" spans="1:58" x14ac:dyDescent="0.3">
      <c r="A116">
        <v>115</v>
      </c>
      <c r="B116">
        <v>545</v>
      </c>
      <c r="C116">
        <v>4.5632297541786999E-2</v>
      </c>
      <c r="D116">
        <v>0.14002229128985599</v>
      </c>
      <c r="E116">
        <f t="shared" si="16"/>
        <v>0.37419552548080526</v>
      </c>
      <c r="F116">
        <v>75773.366295927801</v>
      </c>
      <c r="G116">
        <v>17.151205600006499</v>
      </c>
      <c r="H116">
        <v>103431.520806015</v>
      </c>
      <c r="I116">
        <f t="shared" si="17"/>
        <v>1.3650115583102134</v>
      </c>
      <c r="J116">
        <v>2.0478934999555301</v>
      </c>
      <c r="K116">
        <v>2332520.4320892701</v>
      </c>
      <c r="L116" t="s">
        <v>44</v>
      </c>
      <c r="M116" t="s">
        <v>37</v>
      </c>
      <c r="N116">
        <v>373</v>
      </c>
      <c r="O116">
        <f t="shared" si="18"/>
        <v>0.68623853211009178</v>
      </c>
      <c r="P116">
        <v>108434.65597857699</v>
      </c>
      <c r="Q116">
        <f t="shared" si="19"/>
        <v>1.4310391801136657</v>
      </c>
      <c r="R116">
        <v>17.151205600006499</v>
      </c>
      <c r="S116">
        <v>479</v>
      </c>
      <c r="T116">
        <f t="shared" si="20"/>
        <v>0.88073394495412849</v>
      </c>
      <c r="U116">
        <v>101362.98101514101</v>
      </c>
      <c r="V116">
        <f t="shared" si="21"/>
        <v>1.337712523147971</v>
      </c>
      <c r="W116">
        <v>4.90423800004646</v>
      </c>
      <c r="X116" t="str">
        <f>IF(H116=MIN(H116,P116,U116),"Christofides",IF(P116=MIN(H116,P116,U116),"Arithmetic Series","Nearest Neighbor"))</f>
        <v>Nearest Neighbor</v>
      </c>
      <c r="Y116">
        <f t="shared" si="22"/>
        <v>101362.98101514101</v>
      </c>
      <c r="Z116">
        <f t="shared" si="23"/>
        <v>1.337712523147971</v>
      </c>
      <c r="AA116">
        <v>3865</v>
      </c>
      <c r="AB116">
        <v>4304</v>
      </c>
      <c r="AC116">
        <f t="shared" si="24"/>
        <v>0.89800185873605953</v>
      </c>
      <c r="AD116">
        <v>0</v>
      </c>
      <c r="AE116">
        <v>101362.98101514101</v>
      </c>
      <c r="AF116">
        <v>561</v>
      </c>
      <c r="AG116">
        <f t="shared" si="25"/>
        <v>0.13034386617100371</v>
      </c>
      <c r="AH116" s="1">
        <v>5.8207660913467401E-11</v>
      </c>
      <c r="AI116" s="4">
        <v>101248.251587255</v>
      </c>
      <c r="AJ116" s="4">
        <v>1618</v>
      </c>
      <c r="AK116" s="4">
        <f t="shared" si="26"/>
        <v>0.37592936802973975</v>
      </c>
      <c r="AL116">
        <v>100890.99117099099</v>
      </c>
      <c r="AM116">
        <f t="shared" si="27"/>
        <v>1.3314835555407158</v>
      </c>
      <c r="AN116">
        <v>1.0110744000412499</v>
      </c>
      <c r="AO116">
        <v>3</v>
      </c>
      <c r="AP116">
        <f t="shared" si="28"/>
        <v>0.3</v>
      </c>
      <c r="AQ116">
        <v>100724.798328776</v>
      </c>
      <c r="AR116">
        <f t="shared" si="29"/>
        <v>1.3292902671817701</v>
      </c>
      <c r="AS116">
        <v>110.76399040000901</v>
      </c>
      <c r="AT116">
        <v>11</v>
      </c>
      <c r="AU116">
        <f t="shared" si="30"/>
        <v>0.11</v>
      </c>
      <c r="AV116">
        <v>101042.067990154</v>
      </c>
      <c r="AW116">
        <f t="shared" si="31"/>
        <v>1.3334773539760789</v>
      </c>
      <c r="AX116">
        <v>101.20326990005501</v>
      </c>
      <c r="AY116" t="str">
        <f>IF(AL116=MIN(AL116,AQ116,AV116),"Simulated Annealing",IF(AQ116=MIN(AL116,AQ116,AV116),"Ant Colony Optimization","Genetic Algorithm"))</f>
        <v>Ant Colony Optimization</v>
      </c>
      <c r="AZ116">
        <f>MIN(AL116,AQ116,AV116)</f>
        <v>100724.798328776</v>
      </c>
      <c r="BA116">
        <f>AZ116/F116</f>
        <v>1.3292902671817701</v>
      </c>
      <c r="BB116">
        <v>101946.217889712</v>
      </c>
      <c r="BC116">
        <f>BB116/F116</f>
        <v>1.3454096455417843</v>
      </c>
      <c r="BD116">
        <v>0.112</v>
      </c>
      <c r="BE116">
        <v>5</v>
      </c>
      <c r="BF116">
        <v>5.0570000000000004</v>
      </c>
    </row>
    <row r="117" spans="1:58" x14ac:dyDescent="0.3">
      <c r="A117">
        <v>116</v>
      </c>
      <c r="B117">
        <v>555</v>
      </c>
      <c r="C117">
        <v>4.5105487799992301E-2</v>
      </c>
      <c r="D117">
        <v>9.4230695010407595E-2</v>
      </c>
      <c r="E117">
        <f t="shared" si="16"/>
        <v>0.30697018586567587</v>
      </c>
      <c r="F117">
        <v>79442.842395292697</v>
      </c>
      <c r="G117">
        <v>17.629119100049099</v>
      </c>
      <c r="H117">
        <v>105593.24006896499</v>
      </c>
      <c r="I117">
        <f t="shared" si="17"/>
        <v>1.32917248282171</v>
      </c>
      <c r="J117">
        <v>2.1975273999851099</v>
      </c>
      <c r="K117">
        <v>2427058.0265774298</v>
      </c>
      <c r="L117" t="s">
        <v>44</v>
      </c>
      <c r="M117">
        <v>1</v>
      </c>
      <c r="N117">
        <v>13</v>
      </c>
      <c r="O117">
        <f t="shared" si="18"/>
        <v>2.5225225225225224E-2</v>
      </c>
      <c r="P117">
        <v>113414.046574198</v>
      </c>
      <c r="Q117">
        <f t="shared" si="19"/>
        <v>1.4276181862913584</v>
      </c>
      <c r="R117">
        <v>17.629119100049099</v>
      </c>
      <c r="S117">
        <v>113</v>
      </c>
      <c r="T117">
        <f t="shared" si="20"/>
        <v>0.20540540540540542</v>
      </c>
      <c r="U117">
        <v>107983.92440615701</v>
      </c>
      <c r="V117">
        <f t="shared" si="21"/>
        <v>1.3592656197879884</v>
      </c>
      <c r="W117">
        <v>5.2694055999163503</v>
      </c>
      <c r="X117" t="str">
        <f>IF(H117=MIN(H117,P117,U117),"Christofides",IF(P117=MIN(H117,P117,U117),"Arithmetic Series","Nearest Neighbor"))</f>
        <v>Christofides</v>
      </c>
      <c r="Y117">
        <f t="shared" si="22"/>
        <v>105593.24006896499</v>
      </c>
      <c r="Z117">
        <f t="shared" si="23"/>
        <v>1.32917248282171</v>
      </c>
      <c r="AA117">
        <v>4035</v>
      </c>
      <c r="AB117">
        <v>4306</v>
      </c>
      <c r="AC117">
        <f t="shared" si="24"/>
        <v>0.93706456107756619</v>
      </c>
      <c r="AD117">
        <v>0</v>
      </c>
      <c r="AE117">
        <v>105543.555410184</v>
      </c>
      <c r="AF117">
        <v>747</v>
      </c>
      <c r="AG117">
        <f t="shared" si="25"/>
        <v>0.17347886669763121</v>
      </c>
      <c r="AH117" s="1">
        <v>8.7311491370201098E-11</v>
      </c>
      <c r="AI117" s="4">
        <v>105390.445310239</v>
      </c>
      <c r="AJ117" s="4">
        <v>1893</v>
      </c>
      <c r="AK117" s="4">
        <f t="shared" si="26"/>
        <v>0.43961913608917791</v>
      </c>
      <c r="AL117">
        <v>105379.530385965</v>
      </c>
      <c r="AM117">
        <f t="shared" si="27"/>
        <v>1.3264823766201139</v>
      </c>
      <c r="AN117">
        <v>1.1010959000559499</v>
      </c>
      <c r="AO117">
        <v>1</v>
      </c>
      <c r="AP117">
        <f t="shared" si="28"/>
        <v>0.1</v>
      </c>
      <c r="AQ117">
        <v>105593.24006896499</v>
      </c>
      <c r="AR117">
        <f t="shared" si="29"/>
        <v>1.32917248282171</v>
      </c>
      <c r="AS117">
        <v>116.789073600084</v>
      </c>
      <c r="AT117">
        <v>64</v>
      </c>
      <c r="AU117">
        <f t="shared" si="30"/>
        <v>0.64</v>
      </c>
      <c r="AV117">
        <v>105417.19771557</v>
      </c>
      <c r="AW117">
        <f t="shared" si="31"/>
        <v>1.3269565204003373</v>
      </c>
      <c r="AX117">
        <v>108.504845399991</v>
      </c>
      <c r="AY117" t="str">
        <f>IF(AL117=MIN(AL117,AQ117,AV117),"Simulated Annealing",IF(AQ117=MIN(AL117,AQ117,AV117),"Ant Colony Optimization","Genetic Algorithm"))</f>
        <v>Simulated Annealing</v>
      </c>
      <c r="AZ117">
        <f>MIN(AL117,AQ117,AV117)</f>
        <v>105379.530385965</v>
      </c>
      <c r="BA117">
        <f>AZ117/F117</f>
        <v>1.3264823766201139</v>
      </c>
      <c r="BB117">
        <v>107584.856887498</v>
      </c>
      <c r="BC117">
        <f>BB117/F117</f>
        <v>1.3542422909816836</v>
      </c>
      <c r="BD117">
        <v>0.112</v>
      </c>
      <c r="BE117">
        <v>5</v>
      </c>
      <c r="BF117">
        <v>5</v>
      </c>
    </row>
    <row r="118" spans="1:58" x14ac:dyDescent="0.3">
      <c r="A118">
        <v>117</v>
      </c>
      <c r="B118">
        <v>565</v>
      </c>
      <c r="C118">
        <v>4.2806818801391699E-2</v>
      </c>
      <c r="D118">
        <v>0.177380111659898</v>
      </c>
      <c r="E118">
        <f t="shared" si="16"/>
        <v>0.42116518334247194</v>
      </c>
      <c r="F118">
        <v>79280.494211255107</v>
      </c>
      <c r="G118">
        <v>18.935066499980099</v>
      </c>
      <c r="H118">
        <v>104846.076773169</v>
      </c>
      <c r="I118">
        <f t="shared" si="17"/>
        <v>1.3224700201009147</v>
      </c>
      <c r="J118">
        <v>2.2632124000228901</v>
      </c>
      <c r="K118">
        <v>2523605.8205492999</v>
      </c>
      <c r="L118" t="s">
        <v>44</v>
      </c>
      <c r="M118">
        <v>1</v>
      </c>
      <c r="N118">
        <v>151</v>
      </c>
      <c r="O118">
        <f t="shared" si="18"/>
        <v>0.26902654867256637</v>
      </c>
      <c r="P118">
        <v>109823.98726860499</v>
      </c>
      <c r="Q118">
        <f t="shared" si="19"/>
        <v>1.3852586107241214</v>
      </c>
      <c r="R118">
        <v>18.935066499980099</v>
      </c>
      <c r="S118">
        <v>45</v>
      </c>
      <c r="T118">
        <f t="shared" si="20"/>
        <v>8.1415929203539822E-2</v>
      </c>
      <c r="U118">
        <v>105607.14197188801</v>
      </c>
      <c r="V118">
        <f t="shared" si="21"/>
        <v>1.3320696726546821</v>
      </c>
      <c r="W118">
        <v>5.7193514000391499</v>
      </c>
      <c r="X118" t="str">
        <f>IF(H118=MIN(H118,P118,U118),"Christofides",IF(P118=MIN(H118,P118,U118),"Arithmetic Series","Nearest Neighbor"))</f>
        <v>Christofides</v>
      </c>
      <c r="Y118">
        <f t="shared" si="22"/>
        <v>104846.076773169</v>
      </c>
      <c r="Z118">
        <f t="shared" si="23"/>
        <v>1.3224700201009147</v>
      </c>
      <c r="AA118">
        <v>1674</v>
      </c>
      <c r="AB118">
        <v>4308</v>
      </c>
      <c r="AC118">
        <f t="shared" si="24"/>
        <v>0.38857938718662954</v>
      </c>
      <c r="AD118">
        <v>0</v>
      </c>
      <c r="AE118">
        <v>104850.840634751</v>
      </c>
      <c r="AF118">
        <v>372</v>
      </c>
      <c r="AG118">
        <f t="shared" si="25"/>
        <v>8.6350974930362118E-2</v>
      </c>
      <c r="AH118">
        <v>4.7638615813775598</v>
      </c>
      <c r="AI118" s="4">
        <v>104850.840634751</v>
      </c>
      <c r="AJ118" s="4">
        <v>372</v>
      </c>
      <c r="AK118" s="4">
        <f t="shared" si="26"/>
        <v>8.6350974930362118E-2</v>
      </c>
      <c r="AL118">
        <v>104596.023822138</v>
      </c>
      <c r="AM118">
        <f t="shared" si="27"/>
        <v>1.3193159914395307</v>
      </c>
      <c r="AN118">
        <v>1.09137020003981</v>
      </c>
      <c r="AO118">
        <v>1</v>
      </c>
      <c r="AP118">
        <f t="shared" si="28"/>
        <v>0.1</v>
      </c>
      <c r="AQ118">
        <v>104846.076773169</v>
      </c>
      <c r="AR118">
        <f t="shared" si="29"/>
        <v>1.3224700201009147</v>
      </c>
      <c r="AS118">
        <v>123.05787420004999</v>
      </c>
      <c r="AT118">
        <v>85</v>
      </c>
      <c r="AU118">
        <f t="shared" si="30"/>
        <v>0.85</v>
      </c>
      <c r="AV118">
        <v>104742.290498084</v>
      </c>
      <c r="AW118">
        <f t="shared" si="31"/>
        <v>1.3211609178290691</v>
      </c>
      <c r="AX118">
        <v>113.19425439997499</v>
      </c>
      <c r="AY118" t="str">
        <f>IF(AL118=MIN(AL118,AQ118,AV118),"Simulated Annealing",IF(AQ118=MIN(AL118,AQ118,AV118),"Ant Colony Optimization","Genetic Algorithm"))</f>
        <v>Simulated Annealing</v>
      </c>
      <c r="AZ118">
        <f>MIN(AL118,AQ118,AV118)</f>
        <v>104596.023822138</v>
      </c>
      <c r="BA118">
        <f>AZ118/F118</f>
        <v>1.3193159914395307</v>
      </c>
      <c r="BB118">
        <v>108110.938762837</v>
      </c>
      <c r="BC118">
        <f>BB118/F118</f>
        <v>1.3636511709268453</v>
      </c>
      <c r="BD118">
        <v>0.112</v>
      </c>
      <c r="BE118">
        <v>5</v>
      </c>
      <c r="BF118">
        <v>5</v>
      </c>
    </row>
    <row r="119" spans="1:58" x14ac:dyDescent="0.3">
      <c r="A119">
        <v>118</v>
      </c>
      <c r="B119">
        <v>575</v>
      </c>
      <c r="C119">
        <v>4.2274131237231498E-2</v>
      </c>
      <c r="D119">
        <v>0.20728631715549201</v>
      </c>
      <c r="E119">
        <f t="shared" si="16"/>
        <v>0.45528707114906308</v>
      </c>
      <c r="F119">
        <v>79462.498611097995</v>
      </c>
      <c r="G119">
        <v>19.685705099953299</v>
      </c>
      <c r="H119">
        <v>107855.890319566</v>
      </c>
      <c r="I119">
        <f t="shared" si="17"/>
        <v>1.3573181337706197</v>
      </c>
      <c r="J119">
        <v>2.3247749999864</v>
      </c>
      <c r="K119">
        <v>2622166.94959766</v>
      </c>
      <c r="L119" t="s">
        <v>44</v>
      </c>
      <c r="M119">
        <v>0</v>
      </c>
      <c r="N119">
        <v>241</v>
      </c>
      <c r="O119">
        <f t="shared" si="18"/>
        <v>0.42086956521739133</v>
      </c>
      <c r="P119">
        <v>115144.37754113899</v>
      </c>
      <c r="Q119">
        <f t="shared" si="19"/>
        <v>1.4490404851812393</v>
      </c>
      <c r="R119">
        <v>19.685705099953299</v>
      </c>
      <c r="S119">
        <v>442</v>
      </c>
      <c r="T119">
        <f t="shared" si="20"/>
        <v>0.77043478260869569</v>
      </c>
      <c r="U119">
        <v>105025.242688991</v>
      </c>
      <c r="V119">
        <f t="shared" si="21"/>
        <v>1.3216956995399944</v>
      </c>
      <c r="W119">
        <v>6.0527184000238696</v>
      </c>
      <c r="X119" t="str">
        <f>IF(H119=MIN(H119,P119,U119),"Christofides",IF(P119=MIN(H119,P119,U119),"Arithmetic Series","Nearest Neighbor"))</f>
        <v>Nearest Neighbor</v>
      </c>
      <c r="Y119">
        <f t="shared" si="22"/>
        <v>105025.242688991</v>
      </c>
      <c r="Z119">
        <f t="shared" si="23"/>
        <v>1.3216956995399944</v>
      </c>
      <c r="AA119">
        <v>3758</v>
      </c>
      <c r="AB119">
        <v>4309</v>
      </c>
      <c r="AC119">
        <f t="shared" si="24"/>
        <v>0.87212810396843821</v>
      </c>
      <c r="AD119">
        <v>0</v>
      </c>
      <c r="AE119">
        <v>104776.345557824</v>
      </c>
      <c r="AF119">
        <v>1270</v>
      </c>
      <c r="AG119">
        <f t="shared" si="25"/>
        <v>0.29473195637038757</v>
      </c>
      <c r="AH119" s="1">
        <v>4.3655745685100497E-11</v>
      </c>
      <c r="AI119" s="4">
        <v>104134.78503539599</v>
      </c>
      <c r="AJ119" s="4">
        <v>2021</v>
      </c>
      <c r="AK119" s="4">
        <f t="shared" si="26"/>
        <v>0.46901833372012069</v>
      </c>
      <c r="AL119">
        <v>104038.498850848</v>
      </c>
      <c r="AM119">
        <f t="shared" si="27"/>
        <v>1.3092779697254278</v>
      </c>
      <c r="AN119">
        <v>1.1302997000748201</v>
      </c>
      <c r="AO119">
        <v>0</v>
      </c>
      <c r="AP119">
        <f t="shared" si="28"/>
        <v>0</v>
      </c>
      <c r="AQ119">
        <v>105025.242688991</v>
      </c>
      <c r="AR119">
        <f t="shared" si="29"/>
        <v>1.3216956995399944</v>
      </c>
      <c r="AS119">
        <v>130.24751250003399</v>
      </c>
      <c r="AT119">
        <v>29</v>
      </c>
      <c r="AU119">
        <f t="shared" si="30"/>
        <v>0.28999999999999998</v>
      </c>
      <c r="AV119">
        <v>104963.924299598</v>
      </c>
      <c r="AW119">
        <f t="shared" si="31"/>
        <v>1.3209240350383142</v>
      </c>
      <c r="AX119">
        <v>124.49787999992201</v>
      </c>
      <c r="AY119" t="str">
        <f>IF(AL119=MIN(AL119,AQ119,AV119),"Simulated Annealing",IF(AQ119=MIN(AL119,AQ119,AV119),"Ant Colony Optimization","Genetic Algorithm"))</f>
        <v>Simulated Annealing</v>
      </c>
      <c r="AZ119">
        <f>MIN(AL119,AQ119,AV119)</f>
        <v>104038.498850848</v>
      </c>
      <c r="BA119">
        <f>AZ119/F119</f>
        <v>1.3092779697254278</v>
      </c>
      <c r="BB119">
        <v>109831.80479508601</v>
      </c>
      <c r="BC119">
        <f>BB119/F119</f>
        <v>1.3821841335825618</v>
      </c>
      <c r="BD119">
        <v>0.112</v>
      </c>
      <c r="BE119">
        <v>5</v>
      </c>
      <c r="BF119">
        <v>5</v>
      </c>
    </row>
    <row r="120" spans="1:58" x14ac:dyDescent="0.3">
      <c r="A120">
        <v>119</v>
      </c>
      <c r="B120">
        <v>585</v>
      </c>
      <c r="C120">
        <v>3.97929238024596E-2</v>
      </c>
      <c r="D120">
        <v>0.123079876474104</v>
      </c>
      <c r="E120">
        <f t="shared" si="16"/>
        <v>0.3508274169361682</v>
      </c>
      <c r="F120">
        <v>80801.993884538999</v>
      </c>
      <c r="G120">
        <v>21.738014900009102</v>
      </c>
      <c r="H120">
        <v>108885.310192177</v>
      </c>
      <c r="I120">
        <f t="shared" si="17"/>
        <v>1.3475572192904954</v>
      </c>
      <c r="J120">
        <v>2.4684263999806699</v>
      </c>
      <c r="K120">
        <v>2722755.0478440002</v>
      </c>
      <c r="L120" t="s">
        <v>44</v>
      </c>
      <c r="M120">
        <v>1</v>
      </c>
      <c r="N120">
        <v>507</v>
      </c>
      <c r="O120">
        <f t="shared" si="18"/>
        <v>0.8683760683760684</v>
      </c>
      <c r="P120">
        <v>114530.90333567699</v>
      </c>
      <c r="Q120">
        <f t="shared" si="19"/>
        <v>1.4174266974071765</v>
      </c>
      <c r="R120">
        <v>21.738014900009102</v>
      </c>
      <c r="S120">
        <v>272</v>
      </c>
      <c r="T120">
        <f t="shared" si="20"/>
        <v>0.46666666666666667</v>
      </c>
      <c r="U120">
        <v>110594.68939371</v>
      </c>
      <c r="V120">
        <f t="shared" si="21"/>
        <v>1.3687123804363404</v>
      </c>
      <c r="W120">
        <v>6.1710846000351003</v>
      </c>
      <c r="X120" t="str">
        <f>IF(H120=MIN(H120,P120,U120),"Christofides",IF(P120=MIN(H120,P120,U120),"Arithmetic Series","Nearest Neighbor"))</f>
        <v>Christofides</v>
      </c>
      <c r="Y120">
        <f t="shared" si="22"/>
        <v>108885.310192177</v>
      </c>
      <c r="Z120">
        <f t="shared" si="23"/>
        <v>1.3475572192904954</v>
      </c>
      <c r="AA120">
        <v>3884</v>
      </c>
      <c r="AB120">
        <v>4311</v>
      </c>
      <c r="AC120">
        <f t="shared" si="24"/>
        <v>0.90095105543957321</v>
      </c>
      <c r="AD120">
        <v>0</v>
      </c>
      <c r="AE120">
        <v>108885.310192177</v>
      </c>
      <c r="AF120">
        <v>145</v>
      </c>
      <c r="AG120">
        <f t="shared" si="25"/>
        <v>3.3634887497100439E-2</v>
      </c>
      <c r="AH120" s="1">
        <v>7.2759576141834194E-11</v>
      </c>
      <c r="AI120" s="4">
        <v>108177.455687297</v>
      </c>
      <c r="AJ120" s="4">
        <v>4143</v>
      </c>
      <c r="AK120" s="4">
        <f t="shared" si="26"/>
        <v>0.9610299234516354</v>
      </c>
      <c r="AL120">
        <v>108177.455687297</v>
      </c>
      <c r="AM120">
        <f t="shared" si="27"/>
        <v>1.3387968599125886</v>
      </c>
      <c r="AN120">
        <v>1.14643660001456</v>
      </c>
      <c r="AO120">
        <v>0</v>
      </c>
      <c r="AP120">
        <f t="shared" si="28"/>
        <v>0</v>
      </c>
      <c r="AQ120">
        <v>108885.310192177</v>
      </c>
      <c r="AR120">
        <f t="shared" si="29"/>
        <v>1.3475572192904954</v>
      </c>
      <c r="AS120">
        <v>134.67229919997001</v>
      </c>
      <c r="AT120">
        <v>38</v>
      </c>
      <c r="AU120">
        <f t="shared" si="30"/>
        <v>0.38</v>
      </c>
      <c r="AV120">
        <v>108818.761784717</v>
      </c>
      <c r="AW120">
        <f t="shared" si="31"/>
        <v>1.346733620710056</v>
      </c>
      <c r="AX120">
        <v>131.55119230004399</v>
      </c>
      <c r="AY120" t="str">
        <f>IF(AL120=MIN(AL120,AQ120,AV120),"Simulated Annealing",IF(AQ120=MIN(AL120,AQ120,AV120),"Ant Colony Optimization","Genetic Algorithm"))</f>
        <v>Simulated Annealing</v>
      </c>
      <c r="AZ120">
        <f>MIN(AL120,AQ120,AV120)</f>
        <v>108177.455687297</v>
      </c>
      <c r="BA120">
        <f>AZ120/F120</f>
        <v>1.3387968599125886</v>
      </c>
      <c r="BB120">
        <v>112809.690730667</v>
      </c>
      <c r="BC120">
        <f>BB120/F120</f>
        <v>1.3961250868619035</v>
      </c>
      <c r="BD120">
        <v>0.112</v>
      </c>
      <c r="BE120">
        <v>5</v>
      </c>
      <c r="BF120">
        <v>5.0259999999999998</v>
      </c>
    </row>
    <row r="121" spans="1:58" x14ac:dyDescent="0.3">
      <c r="A121">
        <v>120</v>
      </c>
      <c r="B121">
        <v>595</v>
      </c>
      <c r="C121">
        <v>3.8890478344226501E-2</v>
      </c>
      <c r="D121">
        <v>7.8048311292379796E-2</v>
      </c>
      <c r="E121">
        <f t="shared" si="16"/>
        <v>0.27937127857455174</v>
      </c>
      <c r="F121">
        <v>81450.343413336799</v>
      </c>
      <c r="G121">
        <v>21.976588799967399</v>
      </c>
      <c r="H121">
        <v>106465.77552749</v>
      </c>
      <c r="I121">
        <f t="shared" si="17"/>
        <v>1.307124943442008</v>
      </c>
      <c r="J121">
        <v>2.58630429999902</v>
      </c>
      <c r="K121">
        <v>2825367.2016285001</v>
      </c>
      <c r="L121" t="s">
        <v>44</v>
      </c>
      <c r="M121">
        <v>0</v>
      </c>
      <c r="N121">
        <v>452</v>
      </c>
      <c r="O121">
        <f t="shared" si="18"/>
        <v>0.76134453781512601</v>
      </c>
      <c r="P121">
        <v>114545.734520675</v>
      </c>
      <c r="Q121">
        <f t="shared" si="19"/>
        <v>1.406325986121246</v>
      </c>
      <c r="R121">
        <v>21.976588799967399</v>
      </c>
      <c r="S121">
        <v>486</v>
      </c>
      <c r="T121">
        <f t="shared" si="20"/>
        <v>0.81848739495798317</v>
      </c>
      <c r="U121">
        <v>107734.14207589001</v>
      </c>
      <c r="V121">
        <f t="shared" si="21"/>
        <v>1.3226972110991673</v>
      </c>
      <c r="W121">
        <v>6.7281044999836004</v>
      </c>
      <c r="X121" t="str">
        <f>IF(H121=MIN(H121,P121,U121),"Christofides",IF(P121=MIN(H121,P121,U121),"Arithmetic Series","Nearest Neighbor"))</f>
        <v>Christofides</v>
      </c>
      <c r="Y121">
        <f t="shared" si="22"/>
        <v>106465.77552749</v>
      </c>
      <c r="Z121">
        <f t="shared" si="23"/>
        <v>1.307124943442008</v>
      </c>
      <c r="AA121">
        <v>3875</v>
      </c>
      <c r="AB121">
        <v>4313</v>
      </c>
      <c r="AC121">
        <f t="shared" si="24"/>
        <v>0.89844655692093667</v>
      </c>
      <c r="AD121">
        <v>0</v>
      </c>
      <c r="AE121">
        <v>106318.003705069</v>
      </c>
      <c r="AF121">
        <v>1539</v>
      </c>
      <c r="AG121">
        <f t="shared" si="25"/>
        <v>0.35682819383259912</v>
      </c>
      <c r="AH121" s="1">
        <v>1.3096723705530099E-10</v>
      </c>
      <c r="AI121" s="4">
        <v>106229.79877799199</v>
      </c>
      <c r="AJ121" s="4">
        <v>2960</v>
      </c>
      <c r="AK121" s="4">
        <f>AJ121/AB121</f>
        <v>0.68629724089960586</v>
      </c>
      <c r="AL121">
        <v>106117.91385455101</v>
      </c>
      <c r="AM121">
        <f t="shared" si="27"/>
        <v>1.302854099902728</v>
      </c>
      <c r="AN121">
        <v>1.10126609995495</v>
      </c>
      <c r="AO121">
        <v>1</v>
      </c>
      <c r="AP121">
        <f t="shared" si="28"/>
        <v>0.1</v>
      </c>
      <c r="AQ121">
        <v>106465.77552749</v>
      </c>
      <c r="AR121">
        <f t="shared" si="29"/>
        <v>1.307124943442008</v>
      </c>
      <c r="AS121">
        <v>142.42662769998401</v>
      </c>
      <c r="AT121">
        <v>54</v>
      </c>
      <c r="AU121">
        <f t="shared" si="30"/>
        <v>0.54</v>
      </c>
      <c r="AV121">
        <v>106135.03544948201</v>
      </c>
      <c r="AW121">
        <f t="shared" si="31"/>
        <v>1.3030643088989518</v>
      </c>
      <c r="AX121">
        <v>135.505984899937</v>
      </c>
      <c r="AY121" t="str">
        <f>IF(AL121=MIN(AL121,AQ121,AV121),"Simulated Annealing",IF(AQ121=MIN(AL121,AQ121,AV121),"Ant Colony Optimization","Genetic Algorithm"))</f>
        <v>Simulated Annealing</v>
      </c>
      <c r="AZ121">
        <f>MIN(AL121,AQ121,AV121)</f>
        <v>106117.91385455101</v>
      </c>
      <c r="BA121">
        <f>AZ121/F121</f>
        <v>1.302854099902728</v>
      </c>
      <c r="BB121">
        <v>116139.655305459</v>
      </c>
      <c r="BC121">
        <f>BB121/F121</f>
        <v>1.4258952195705799</v>
      </c>
      <c r="BD121">
        <v>6.4000000000000001E-2</v>
      </c>
      <c r="BE121">
        <v>5</v>
      </c>
      <c r="BF121">
        <v>5</v>
      </c>
    </row>
    <row r="125" spans="1:58" x14ac:dyDescent="0.3">
      <c r="D125" s="2" t="s">
        <v>45</v>
      </c>
      <c r="E125" s="2" t="s">
        <v>47</v>
      </c>
      <c r="M125" s="2" t="s">
        <v>38</v>
      </c>
      <c r="N125" s="2"/>
      <c r="O125" s="3"/>
      <c r="S125" s="3"/>
      <c r="T125" s="3"/>
      <c r="X125" s="2" t="s">
        <v>30</v>
      </c>
      <c r="Y125" s="2"/>
      <c r="Z125" s="2"/>
      <c r="AA125" s="2"/>
      <c r="AB125" s="2"/>
      <c r="AC125" s="2" t="s">
        <v>73</v>
      </c>
      <c r="AD125" s="2"/>
      <c r="AE125" s="2"/>
      <c r="AF125" s="2"/>
      <c r="AG125" s="2" t="s">
        <v>75</v>
      </c>
      <c r="AH125" s="2" t="s">
        <v>79</v>
      </c>
      <c r="AI125" s="2"/>
      <c r="AJ125" s="2"/>
      <c r="AK125" s="2" t="s">
        <v>77</v>
      </c>
      <c r="AP125" s="2" t="s">
        <v>81</v>
      </c>
      <c r="AU125" s="2" t="s">
        <v>83</v>
      </c>
      <c r="AY125" s="2" t="s">
        <v>31</v>
      </c>
    </row>
    <row r="126" spans="1:58" x14ac:dyDescent="0.3">
      <c r="D126">
        <f>CORREL(D2:D121,P2:P121)</f>
        <v>-0.25781494150667084</v>
      </c>
      <c r="E126">
        <f>CORREL(E2:E121,P2:P121)</f>
        <v>-0.38639263444559224</v>
      </c>
      <c r="M126">
        <f>COUNTIF(M2:M121,"=0")</f>
        <v>69</v>
      </c>
      <c r="O126" s="3"/>
      <c r="X126">
        <f>COUNTIF(X2:X121,"=Christofides")</f>
        <v>58</v>
      </c>
      <c r="AC126">
        <f>CORREL(AC2:AC121,AL2:AL121)</f>
        <v>0.24036557667890948</v>
      </c>
      <c r="AG126">
        <f>CORREL(AG2:AG121,AL2:AL121)</f>
        <v>0.40787613968668057</v>
      </c>
      <c r="AH126">
        <f>CORREL(AH2:AH121,AL2:AL121)</f>
        <v>0.11694732386930368</v>
      </c>
      <c r="AK126">
        <f>CORREL(AK2:AK121,AL2:AL121)</f>
        <v>0.10593913185246902</v>
      </c>
      <c r="AP126">
        <f>CORREL(AP2:AP121,AQ2:AQ121)</f>
        <v>-0.29085324302121179</v>
      </c>
      <c r="AU126">
        <f>CORREL(AU2:AU121,AV2:AV121)</f>
        <v>0.30613384336839161</v>
      </c>
      <c r="AY126">
        <f>COUNTIF(AY2:AY121,"=Simulated Annealing")</f>
        <v>90</v>
      </c>
    </row>
    <row r="127" spans="1:58" x14ac:dyDescent="0.3">
      <c r="D127" s="2" t="s">
        <v>46</v>
      </c>
      <c r="E127" s="2" t="s">
        <v>48</v>
      </c>
      <c r="M127" s="2" t="s">
        <v>39</v>
      </c>
      <c r="N127" s="2"/>
      <c r="O127" s="3"/>
      <c r="T127" s="3"/>
      <c r="X127" s="2" t="s">
        <v>32</v>
      </c>
      <c r="Y127" s="2"/>
      <c r="Z127" s="2"/>
      <c r="AA127" s="2"/>
      <c r="AB127" s="2"/>
      <c r="AC127" s="2" t="s">
        <v>74</v>
      </c>
      <c r="AD127" s="2"/>
      <c r="AE127" s="2"/>
      <c r="AF127" s="2"/>
      <c r="AG127" s="2" t="s">
        <v>76</v>
      </c>
      <c r="AH127" s="2" t="s">
        <v>80</v>
      </c>
      <c r="AI127" s="2"/>
      <c r="AJ127" s="2"/>
      <c r="AK127" s="2" t="s">
        <v>78</v>
      </c>
      <c r="AP127" s="2" t="s">
        <v>82</v>
      </c>
      <c r="AU127" s="2" t="s">
        <v>84</v>
      </c>
      <c r="AY127" s="2" t="s">
        <v>33</v>
      </c>
    </row>
    <row r="128" spans="1:58" x14ac:dyDescent="0.3">
      <c r="D128">
        <f>CORREL(D2:D121,Q2:Q121)</f>
        <v>-0.4912600724308574</v>
      </c>
      <c r="E128">
        <f>CORREL(E2:E121,Q2:Q121)</f>
        <v>-0.547087949314635</v>
      </c>
      <c r="M128">
        <f>COUNTIF(M2:M121,"=1")</f>
        <v>25</v>
      </c>
      <c r="O128" s="3"/>
      <c r="X128">
        <f>COUNTIF(X2:X121,"=Arithmetic Series")</f>
        <v>1</v>
      </c>
      <c r="AC128">
        <f>CORREL(AC2:AC121,AM2:AM121)</f>
        <v>0.31384745979107348</v>
      </c>
      <c r="AG128">
        <f>CORREL(AG2:AG121,AM2:AM121)</f>
        <v>0.36439367246855525</v>
      </c>
      <c r="AH128">
        <f>CORREL(AH2:AH121,AM2:AM121)</f>
        <v>9.1755675474540957E-2</v>
      </c>
      <c r="AK128">
        <f>CORREL(AK2:AK121,AM2:AM121)</f>
        <v>0.12458811913093502</v>
      </c>
      <c r="AP128">
        <f>CORREL(AP2:AP121,AR2:AR121)</f>
        <v>-0.31653184196954892</v>
      </c>
      <c r="AU128">
        <f>CORREL(AU2:AU121,AW2:AW121)</f>
        <v>0.24127866284707497</v>
      </c>
      <c r="AY128">
        <f>COUNTIF(AY2:AY121,"=Ant Colony Optimization")</f>
        <v>20</v>
      </c>
    </row>
    <row r="129" spans="13:51" x14ac:dyDescent="0.3">
      <c r="M129" s="2" t="s">
        <v>40</v>
      </c>
      <c r="N129" s="2"/>
      <c r="O129" s="2"/>
      <c r="X129" s="2" t="s">
        <v>34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Y129" s="2" t="s">
        <v>35</v>
      </c>
    </row>
    <row r="130" spans="13:51" x14ac:dyDescent="0.3">
      <c r="M130">
        <f>COUNTIF(M2:M121,"=(n - 2)! - 1")</f>
        <v>25</v>
      </c>
      <c r="X130">
        <f>COUNTIF(X2:X121,"=Nearest Neighbor")</f>
        <v>61</v>
      </c>
      <c r="AY130">
        <f>COUNTIF(AY2:AY121,"=Genetic Algorithm")</f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48A3-45EA-4F83-81C2-6C995B4B6007}">
  <dimension ref="A1:BF130"/>
  <sheetViews>
    <sheetView tabSelected="1" workbookViewId="0"/>
  </sheetViews>
  <sheetFormatPr defaultRowHeight="14.4" x14ac:dyDescent="0.3"/>
  <cols>
    <col min="1" max="1" width="18.21875" customWidth="1"/>
    <col min="2" max="2" width="17.77734375" customWidth="1"/>
    <col min="3" max="3" width="43.21875" customWidth="1"/>
    <col min="4" max="4" width="66.109375" customWidth="1"/>
    <col min="5" max="5" width="75" customWidth="1"/>
    <col min="6" max="6" width="18.33203125" customWidth="1"/>
    <col min="7" max="7" width="38.21875" customWidth="1"/>
    <col min="8" max="8" width="23" customWidth="1"/>
    <col min="9" max="9" width="29" customWidth="1"/>
    <col min="10" max="10" width="24.109375" customWidth="1"/>
    <col min="11" max="11" width="69.44140625" customWidth="1"/>
    <col min="12" max="12" width="47.109375" customWidth="1"/>
    <col min="13" max="13" width="57.33203125" customWidth="1"/>
    <col min="14" max="14" width="43.88671875" customWidth="1"/>
    <col min="15" max="15" width="58.77734375" customWidth="1"/>
    <col min="16" max="16" width="39.21875" customWidth="1"/>
    <col min="17" max="17" width="44.88671875" customWidth="1"/>
    <col min="18" max="18" width="39.77734375" customWidth="1"/>
    <col min="19" max="19" width="42.44140625" customWidth="1"/>
    <col min="20" max="20" width="57.21875" customWidth="1"/>
    <col min="21" max="21" width="38.33203125" customWidth="1"/>
    <col min="22" max="22" width="44" customWidth="1"/>
    <col min="23" max="23" width="39" customWidth="1"/>
    <col min="24" max="24" width="26.109375" customWidth="1"/>
    <col min="25" max="25" width="30.44140625" customWidth="1"/>
    <col min="26" max="26" width="36.109375" customWidth="1"/>
    <col min="27" max="27" width="43.109375" customWidth="1"/>
    <col min="28" max="28" width="32.6640625" customWidth="1"/>
    <col min="29" max="29" width="85" customWidth="1"/>
    <col min="30" max="30" width="51.88671875" customWidth="1"/>
    <col min="31" max="31" width="63.6640625" customWidth="1"/>
    <col min="32" max="32" width="67.44140625" customWidth="1"/>
    <col min="33" max="33" width="113.21875" customWidth="1"/>
    <col min="34" max="34" width="87.21875" customWidth="1"/>
    <col min="35" max="35" width="67.5546875" customWidth="1"/>
    <col min="36" max="36" width="71.109375" customWidth="1"/>
    <col min="37" max="37" width="117.21875" customWidth="1"/>
    <col min="38" max="38" width="30.77734375" customWidth="1"/>
    <col min="39" max="39" width="36.77734375" customWidth="1"/>
    <col min="40" max="40" width="31.88671875" customWidth="1"/>
    <col min="41" max="41" width="48.77734375" customWidth="1"/>
    <col min="42" max="42" width="92.44140625" customWidth="1"/>
    <col min="43" max="43" width="34.21875" customWidth="1"/>
    <col min="44" max="44" width="40.21875" customWidth="1"/>
    <col min="45" max="45" width="35.109375" customWidth="1"/>
    <col min="46" max="46" width="52" customWidth="1"/>
    <col min="47" max="47" width="88.5546875" customWidth="1"/>
    <col min="48" max="48" width="28.88671875" customWidth="1"/>
    <col min="49" max="49" width="34.5546875" customWidth="1"/>
    <col min="50" max="50" width="29.5546875" customWidth="1"/>
    <col min="51" max="51" width="32" customWidth="1"/>
    <col min="52" max="52" width="29.6640625" customWidth="1"/>
    <col min="53" max="53" width="35.44140625" customWidth="1"/>
    <col min="54" max="54" width="20.44140625" customWidth="1"/>
    <col min="55" max="55" width="26.21875" customWidth="1"/>
    <col min="56" max="56" width="27.33203125" customWidth="1"/>
    <col min="57" max="57" width="23.77734375" customWidth="1"/>
    <col min="58" max="58" width="21" customWidth="1"/>
  </cols>
  <sheetData>
    <row r="1" spans="1:58" s="2" customFormat="1" x14ac:dyDescent="0.3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8</v>
      </c>
      <c r="K1" s="2" t="s">
        <v>51</v>
      </c>
      <c r="L1" s="2" t="s">
        <v>43</v>
      </c>
      <c r="M1" s="2" t="s">
        <v>36</v>
      </c>
      <c r="N1" s="2" t="s">
        <v>41</v>
      </c>
      <c r="O1" s="2" t="s">
        <v>42</v>
      </c>
      <c r="P1" s="2" t="s">
        <v>6</v>
      </c>
      <c r="Q1" s="2" t="s">
        <v>7</v>
      </c>
      <c r="R1" s="2" t="s">
        <v>9</v>
      </c>
      <c r="S1" s="2" t="s">
        <v>49</v>
      </c>
      <c r="T1" s="2" t="s">
        <v>50</v>
      </c>
      <c r="U1" s="2" t="s">
        <v>24</v>
      </c>
      <c r="V1" s="2" t="s">
        <v>25</v>
      </c>
      <c r="W1" s="2" t="s">
        <v>26</v>
      </c>
      <c r="X1" s="2" t="s">
        <v>53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10</v>
      </c>
      <c r="AM1" s="2" t="s">
        <v>11</v>
      </c>
      <c r="AN1" s="2" t="s">
        <v>12</v>
      </c>
      <c r="AO1" s="2" t="s">
        <v>69</v>
      </c>
      <c r="AP1" s="2" t="s">
        <v>70</v>
      </c>
      <c r="AQ1" s="2" t="s">
        <v>13</v>
      </c>
      <c r="AR1" s="2" t="s">
        <v>14</v>
      </c>
      <c r="AS1" s="2" t="s">
        <v>15</v>
      </c>
      <c r="AT1" s="2" t="s">
        <v>71</v>
      </c>
      <c r="AU1" s="2" t="s">
        <v>72</v>
      </c>
      <c r="AV1" s="2" t="s">
        <v>16</v>
      </c>
      <c r="AW1" s="2" t="s">
        <v>17</v>
      </c>
      <c r="AX1" s="2" t="s">
        <v>18</v>
      </c>
      <c r="AY1" s="2" t="s">
        <v>52</v>
      </c>
      <c r="AZ1" s="2" t="s">
        <v>54</v>
      </c>
      <c r="BA1" s="2" t="s">
        <v>55</v>
      </c>
      <c r="BB1" s="2" t="s">
        <v>19</v>
      </c>
      <c r="BC1" s="2" t="s">
        <v>20</v>
      </c>
      <c r="BD1" s="2" t="s">
        <v>21</v>
      </c>
      <c r="BE1" s="2" t="s">
        <v>22</v>
      </c>
      <c r="BF1" s="2" t="s">
        <v>23</v>
      </c>
    </row>
    <row r="2" spans="1:58" x14ac:dyDescent="0.3">
      <c r="A2">
        <v>61</v>
      </c>
      <c r="B2">
        <v>5</v>
      </c>
      <c r="C2">
        <v>316.013809370101</v>
      </c>
      <c r="D2">
        <v>153354.500097674</v>
      </c>
      <c r="E2">
        <f>SQRT(D2)</f>
        <v>391.60503073591127</v>
      </c>
      <c r="F2">
        <v>9746.5999867264109</v>
      </c>
      <c r="G2" s="1">
        <v>6.2500010244548294E-5</v>
      </c>
      <c r="H2">
        <v>9746.5999867264109</v>
      </c>
      <c r="I2">
        <f>H2/F2</f>
        <v>1</v>
      </c>
      <c r="J2">
        <v>2.3410003632307001E-4</v>
      </c>
      <c r="M2">
        <v>6</v>
      </c>
      <c r="N2">
        <v>0</v>
      </c>
      <c r="O2">
        <f>(N2+1)/B2</f>
        <v>0.2</v>
      </c>
      <c r="P2">
        <v>9746.5999867264109</v>
      </c>
      <c r="Q2">
        <f>P2/F2</f>
        <v>1</v>
      </c>
      <c r="R2" s="1">
        <v>6.2500010244548294E-5</v>
      </c>
      <c r="S2" s="1">
        <v>0</v>
      </c>
      <c r="T2">
        <f>(S2+1)/B2</f>
        <v>0.2</v>
      </c>
      <c r="U2">
        <v>9746.5999867264109</v>
      </c>
      <c r="V2">
        <f>U2/F2</f>
        <v>1</v>
      </c>
      <c r="W2" s="1">
        <v>4.3499981984496103E-5</v>
      </c>
      <c r="X2" t="str">
        <f>IF(H2=MIN(H2,P2,U2),"Christofides",IF(P2=MIN(H2,P2,U2),"Arithmetic Series","Nearest Neighbor"))</f>
        <v>Christofides</v>
      </c>
      <c r="Y2">
        <f>MIN(H2,P2,U2)</f>
        <v>9746.5999867264109</v>
      </c>
      <c r="Z2">
        <f>Y2/F2</f>
        <v>1</v>
      </c>
      <c r="AA2">
        <v>0</v>
      </c>
      <c r="AB2">
        <v>499</v>
      </c>
      <c r="AC2">
        <f>AA2/AB2</f>
        <v>0</v>
      </c>
      <c r="AD2">
        <v>0</v>
      </c>
      <c r="AE2">
        <v>9746.5999867264109</v>
      </c>
      <c r="AF2">
        <v>4</v>
      </c>
      <c r="AG2">
        <f>AF2/AB2</f>
        <v>8.0160320641282558E-3</v>
      </c>
      <c r="AH2" s="1">
        <v>1.81898940354585E-12</v>
      </c>
      <c r="AI2" s="4">
        <v>9746.5999867264109</v>
      </c>
      <c r="AJ2" s="4">
        <v>26</v>
      </c>
      <c r="AK2" s="4">
        <f>AJ2/AB2</f>
        <v>5.2104208416833664E-2</v>
      </c>
      <c r="AL2">
        <v>9746.5999867264109</v>
      </c>
      <c r="AM2">
        <f>AL2/F2</f>
        <v>1</v>
      </c>
      <c r="AN2">
        <v>2.30330001795664E-3</v>
      </c>
      <c r="AO2">
        <v>0</v>
      </c>
      <c r="AP2">
        <f>AO2/10</f>
        <v>0</v>
      </c>
      <c r="AQ2">
        <v>9746.5999867264109</v>
      </c>
      <c r="AR2">
        <f>AQ2/F2</f>
        <v>1</v>
      </c>
      <c r="AS2">
        <v>4.4784999918192599E-3</v>
      </c>
      <c r="AT2">
        <v>0</v>
      </c>
      <c r="AU2">
        <f>AT2/100</f>
        <v>0</v>
      </c>
      <c r="AV2">
        <v>9746.5999867264109</v>
      </c>
      <c r="AW2">
        <f>AV2/F2</f>
        <v>1</v>
      </c>
      <c r="AX2">
        <v>8.2270003622397705E-4</v>
      </c>
      <c r="AY2" t="str">
        <f>IF(AL2=MIN(AL2,AQ2,AV2),"Simulated Annealing",IF(AQ2=MIN(AL2,AQ2,AV2),"Ant Colony Optimization","Genetic Algorithm"))</f>
        <v>Simulated Annealing</v>
      </c>
      <c r="AZ2">
        <f>MIN(AL2,AQ2,AV2)</f>
        <v>9746.5999867264109</v>
      </c>
      <c r="BA2">
        <f>AZ2/F2</f>
        <v>1</v>
      </c>
      <c r="BB2">
        <v>9746.5999867264109</v>
      </c>
      <c r="BC2">
        <f>BB2/F2</f>
        <v>1</v>
      </c>
      <c r="BD2">
        <v>0.33300000000000002</v>
      </c>
      <c r="BE2">
        <v>5</v>
      </c>
      <c r="BF2">
        <v>5.0739999999999998</v>
      </c>
    </row>
    <row r="3" spans="1:58" x14ac:dyDescent="0.3">
      <c r="A3">
        <v>1</v>
      </c>
      <c r="B3">
        <v>10</v>
      </c>
      <c r="C3">
        <v>111.819542321326</v>
      </c>
      <c r="D3">
        <v>13908.202313166301</v>
      </c>
      <c r="E3">
        <f>SQRT(D3)</f>
        <v>117.93304165146552</v>
      </c>
      <c r="F3">
        <v>14777.5076222922</v>
      </c>
      <c r="G3">
        <v>1.9280007109045901E-4</v>
      </c>
      <c r="H3">
        <v>17015.1801071597</v>
      </c>
      <c r="I3">
        <f>H3/F3</f>
        <v>1.1514242145605069</v>
      </c>
      <c r="J3">
        <v>7.6739999349229005E-4</v>
      </c>
      <c r="K3">
        <v>172.93886210225699</v>
      </c>
      <c r="L3" t="s">
        <v>44</v>
      </c>
      <c r="M3" t="s">
        <v>37</v>
      </c>
      <c r="N3">
        <v>0</v>
      </c>
      <c r="O3">
        <f>(N3+1)/B3</f>
        <v>0.1</v>
      </c>
      <c r="P3">
        <v>20133.495218873399</v>
      </c>
      <c r="Q3">
        <f>P3/F3</f>
        <v>1.3624418767682835</v>
      </c>
      <c r="R3">
        <v>1.9280007109045901E-4</v>
      </c>
      <c r="S3">
        <v>5</v>
      </c>
      <c r="T3">
        <f>(S3+1)/B3</f>
        <v>0.6</v>
      </c>
      <c r="U3">
        <v>18453.8033786708</v>
      </c>
      <c r="V3">
        <f>U3/F3</f>
        <v>1.2487764412202249</v>
      </c>
      <c r="W3" s="1">
        <v>8.3399936556816101E-5</v>
      </c>
      <c r="X3" t="str">
        <f>IF(H3=MIN(H3,P3,U3),"Christofides",IF(P3=MIN(H3,P3,U3),"Arithmetic Series","Nearest Neighbor"))</f>
        <v>Christofides</v>
      </c>
      <c r="Y3">
        <f>MIN(H3,P3,U3)</f>
        <v>17015.1801071597</v>
      </c>
      <c r="Z3">
        <f>Y3/F3</f>
        <v>1.1514242145605069</v>
      </c>
      <c r="AA3">
        <v>46</v>
      </c>
      <c r="AB3">
        <v>999</v>
      </c>
      <c r="AC3">
        <f>AA3/AB3</f>
        <v>4.6046046046046049E-2</v>
      </c>
      <c r="AD3">
        <v>0</v>
      </c>
      <c r="AE3">
        <v>17015.1801071597</v>
      </c>
      <c r="AF3">
        <v>13</v>
      </c>
      <c r="AG3">
        <f>AF3/AB3</f>
        <v>1.3013013013013013E-2</v>
      </c>
      <c r="AH3" s="1">
        <v>3.6379788070917101E-12</v>
      </c>
      <c r="AI3" s="4">
        <v>16905.237204433801</v>
      </c>
      <c r="AJ3" s="4">
        <v>66</v>
      </c>
      <c r="AK3" s="4">
        <f>AJ3/AB3</f>
        <v>6.6066066066066062E-2</v>
      </c>
      <c r="AL3">
        <v>16905.237204433801</v>
      </c>
      <c r="AM3">
        <f>AL3/F3</f>
        <v>1.1439843332533204</v>
      </c>
      <c r="AN3">
        <v>8.9623999956529501E-3</v>
      </c>
      <c r="AO3">
        <v>4</v>
      </c>
      <c r="AP3">
        <f>AO3/10</f>
        <v>0.4</v>
      </c>
      <c r="AQ3">
        <v>16905.237204433801</v>
      </c>
      <c r="AR3">
        <f>AQ3/F3</f>
        <v>1.1439843332533204</v>
      </c>
      <c r="AS3">
        <v>2.24898000014945E-2</v>
      </c>
      <c r="AT3">
        <v>7</v>
      </c>
      <c r="AU3">
        <f>AT3/100</f>
        <v>7.0000000000000007E-2</v>
      </c>
      <c r="AV3">
        <v>16905.237204433801</v>
      </c>
      <c r="AW3">
        <f>AV3/F3</f>
        <v>1.1439843332533204</v>
      </c>
      <c r="AX3">
        <v>1.9142900011502199E-2</v>
      </c>
      <c r="AY3" t="str">
        <f>IF(AL3=MIN(AL3,AQ3,AV3),"Simulated Annealing",IF(AQ3=MIN(AL3,AQ3,AV3),"Ant Colony Optimization","Genetic Algorithm"))</f>
        <v>Simulated Annealing</v>
      </c>
      <c r="AZ3">
        <f>MIN(AL3,AQ3,AV3)</f>
        <v>16905.237204433801</v>
      </c>
      <c r="BA3">
        <f>AZ3/F3</f>
        <v>1.1439843332533204</v>
      </c>
      <c r="BB3">
        <v>16905.237204433801</v>
      </c>
      <c r="BC3">
        <f>BB3/F3</f>
        <v>1.1439843332533204</v>
      </c>
      <c r="BD3">
        <v>0.318</v>
      </c>
      <c r="BE3">
        <v>5</v>
      </c>
      <c r="BF3">
        <v>5</v>
      </c>
    </row>
    <row r="4" spans="1:58" x14ac:dyDescent="0.3">
      <c r="A4">
        <v>62</v>
      </c>
      <c r="B4">
        <v>15</v>
      </c>
      <c r="C4">
        <v>46.559145280614402</v>
      </c>
      <c r="D4">
        <v>3083.4341797470502</v>
      </c>
      <c r="E4">
        <f>SQRT(D4)</f>
        <v>55.52867889430695</v>
      </c>
      <c r="F4">
        <v>13990.501240375101</v>
      </c>
      <c r="G4">
        <v>6.3820002833381295E-4</v>
      </c>
      <c r="H4">
        <v>16497.8109703462</v>
      </c>
      <c r="I4">
        <f>H4/F4</f>
        <v>1.1792151465406593</v>
      </c>
      <c r="J4">
        <v>1.15670001832768E-3</v>
      </c>
      <c r="K4">
        <v>547.79335113620095</v>
      </c>
      <c r="L4" t="s">
        <v>44</v>
      </c>
      <c r="M4">
        <v>0</v>
      </c>
      <c r="N4">
        <v>3</v>
      </c>
      <c r="O4">
        <f>(N4+1)/B4</f>
        <v>0.26666666666666666</v>
      </c>
      <c r="P4">
        <v>16048.0679507969</v>
      </c>
      <c r="Q4">
        <f>P4/F4</f>
        <v>1.1470688344234501</v>
      </c>
      <c r="R4">
        <v>6.3820002833381295E-4</v>
      </c>
      <c r="S4">
        <v>1</v>
      </c>
      <c r="T4">
        <f>(S4+1)/B4</f>
        <v>0.13333333333333333</v>
      </c>
      <c r="U4">
        <v>15642.9023258167</v>
      </c>
      <c r="V4">
        <f>U4/F4</f>
        <v>1.1181087837419967</v>
      </c>
      <c r="W4">
        <v>2.05200049094855E-4</v>
      </c>
      <c r="X4" t="str">
        <f>IF(H4=MIN(H4,P4,U4),"Christofides",IF(P4=MIN(H4,P4,U4),"Arithmetic Series","Nearest Neighbor"))</f>
        <v>Nearest Neighbor</v>
      </c>
      <c r="Y4">
        <f>MIN(H4,P4,U4)</f>
        <v>15642.9023258167</v>
      </c>
      <c r="Z4">
        <f>Y4/F4</f>
        <v>1.1181087837419967</v>
      </c>
      <c r="AA4">
        <v>0</v>
      </c>
      <c r="AB4">
        <v>1499</v>
      </c>
      <c r="AC4">
        <f>AA4/AB4</f>
        <v>0</v>
      </c>
      <c r="AD4">
        <v>0</v>
      </c>
      <c r="AE4">
        <v>15642.9023258167</v>
      </c>
      <c r="AF4">
        <v>1</v>
      </c>
      <c r="AG4">
        <f>AF4/AB4</f>
        <v>6.6711140760506999E-4</v>
      </c>
      <c r="AH4" s="1">
        <v>3.6379788070917101E-12</v>
      </c>
      <c r="AI4" s="4">
        <v>15642.9023258167</v>
      </c>
      <c r="AJ4" s="4">
        <v>255</v>
      </c>
      <c r="AK4" s="4">
        <f>AJ4/AB4</f>
        <v>0.17011340893929286</v>
      </c>
      <c r="AL4">
        <v>15642.9023258167</v>
      </c>
      <c r="AM4">
        <f>AL4/F4</f>
        <v>1.1181087837419967</v>
      </c>
      <c r="AN4">
        <v>1.14911999553442E-2</v>
      </c>
      <c r="AO4">
        <v>0</v>
      </c>
      <c r="AP4">
        <f>AO4/10</f>
        <v>0</v>
      </c>
      <c r="AQ4">
        <v>15642.9023258167</v>
      </c>
      <c r="AR4">
        <f>AQ4/F4</f>
        <v>1.1181087837419967</v>
      </c>
      <c r="AS4">
        <v>3.0694300017785201E-2</v>
      </c>
      <c r="AT4">
        <v>0</v>
      </c>
      <c r="AU4">
        <f>AT4/100</f>
        <v>0</v>
      </c>
      <c r="AV4">
        <v>15642.9023258167</v>
      </c>
      <c r="AW4">
        <f>AV4/F4</f>
        <v>1.1181087837419967</v>
      </c>
      <c r="AX4">
        <v>1.16543000331148E-2</v>
      </c>
      <c r="AY4" t="str">
        <f>IF(AL4=MIN(AL4,AQ4,AV4),"Simulated Annealing",IF(AQ4=MIN(AL4,AQ4,AV4),"Ant Colony Optimization","Genetic Algorithm"))</f>
        <v>Simulated Annealing</v>
      </c>
      <c r="AZ4">
        <f>MIN(AL4,AQ4,AV4)</f>
        <v>15642.9023258167</v>
      </c>
      <c r="BA4">
        <f>AZ4/F4</f>
        <v>1.1181087837419967</v>
      </c>
      <c r="BB4">
        <v>15375.317244382401</v>
      </c>
      <c r="BC4">
        <f>BB4/F4</f>
        <v>1.0989825868433412</v>
      </c>
      <c r="BD4">
        <v>0.35</v>
      </c>
      <c r="BE4">
        <v>5</v>
      </c>
      <c r="BF4">
        <v>5.0419999999999998</v>
      </c>
    </row>
    <row r="5" spans="1:58" x14ac:dyDescent="0.3">
      <c r="A5">
        <v>2</v>
      </c>
      <c r="B5">
        <v>20</v>
      </c>
      <c r="C5">
        <v>25.522110113136399</v>
      </c>
      <c r="D5">
        <v>978.91811895113096</v>
      </c>
      <c r="E5">
        <f>SQRT(D5)</f>
        <v>31.287667202128237</v>
      </c>
      <c r="F5">
        <v>16352.531522974399</v>
      </c>
      <c r="G5">
        <v>1.0918999323621299E-3</v>
      </c>
      <c r="H5">
        <v>20082.049279238399</v>
      </c>
      <c r="I5">
        <f>H5/F5</f>
        <v>1.2280697487740191</v>
      </c>
      <c r="J5">
        <v>2.3473000037483802E-3</v>
      </c>
      <c r="K5">
        <v>1154.2721195059901</v>
      </c>
      <c r="L5" t="s">
        <v>44</v>
      </c>
      <c r="M5">
        <v>1</v>
      </c>
      <c r="N5">
        <v>2</v>
      </c>
      <c r="O5">
        <f>(N5+1)/B5</f>
        <v>0.15</v>
      </c>
      <c r="P5">
        <v>21411.499639338599</v>
      </c>
      <c r="Q5">
        <f>P5/F5</f>
        <v>1.3093691095630442</v>
      </c>
      <c r="R5">
        <v>1.0918999323621299E-3</v>
      </c>
      <c r="S5">
        <v>14</v>
      </c>
      <c r="T5">
        <f>(S5+1)/B5</f>
        <v>0.75</v>
      </c>
      <c r="U5">
        <v>18723.7190960103</v>
      </c>
      <c r="V5">
        <f>U5/F5</f>
        <v>1.1450043113938972</v>
      </c>
      <c r="W5">
        <v>3.6239996552467297E-4</v>
      </c>
      <c r="X5" t="str">
        <f>IF(H5=MIN(H5,P5,U5),"Christofides",IF(P5=MIN(H5,P5,U5),"Arithmetic Series","Nearest Neighbor"))</f>
        <v>Nearest Neighbor</v>
      </c>
      <c r="Y5">
        <f>MIN(H5,P5,U5)</f>
        <v>18723.7190960103</v>
      </c>
      <c r="Z5">
        <f>Y5/F5</f>
        <v>1.1450043113938972</v>
      </c>
      <c r="AA5">
        <v>247</v>
      </c>
      <c r="AB5">
        <v>1999</v>
      </c>
      <c r="AC5">
        <f>AA5/AB5</f>
        <v>0.12356178089044523</v>
      </c>
      <c r="AD5">
        <v>0</v>
      </c>
      <c r="AE5">
        <v>18723.7190960103</v>
      </c>
      <c r="AF5">
        <v>14</v>
      </c>
      <c r="AG5">
        <f>AF5/AB5</f>
        <v>7.0035017508754379E-3</v>
      </c>
      <c r="AH5" s="1">
        <v>7.2759576141834202E-12</v>
      </c>
      <c r="AI5" s="4">
        <v>17971.3312750244</v>
      </c>
      <c r="AJ5" s="4">
        <v>1725</v>
      </c>
      <c r="AK5" s="4">
        <f>AJ5/AB5</f>
        <v>0.86293146573286639</v>
      </c>
      <c r="AL5">
        <v>17971.3312750244</v>
      </c>
      <c r="AM5">
        <f>AL5/F5</f>
        <v>1.0989938316141252</v>
      </c>
      <c r="AN5">
        <v>1.99446000042371E-2</v>
      </c>
      <c r="AO5">
        <v>4</v>
      </c>
      <c r="AP5">
        <f>AO5/10</f>
        <v>0.4</v>
      </c>
      <c r="AQ5">
        <v>18084.122445172899</v>
      </c>
      <c r="AR5">
        <f>AQ5/F5</f>
        <v>1.10589130617273</v>
      </c>
      <c r="AS5">
        <v>5.1416200003586703E-2</v>
      </c>
      <c r="AT5">
        <v>37</v>
      </c>
      <c r="AU5">
        <f>AT5/100</f>
        <v>0.37</v>
      </c>
      <c r="AV5">
        <v>17753.551905051299</v>
      </c>
      <c r="AW5">
        <f>AV5/F5</f>
        <v>1.0856760545062116</v>
      </c>
      <c r="AX5">
        <v>1.9219700014218601E-2</v>
      </c>
      <c r="AY5" t="str">
        <f>IF(AL5=MIN(AL5,AQ5,AV5),"Simulated Annealing",IF(AQ5=MIN(AL5,AQ5,AV5),"Ant Colony Optimization","Genetic Algorithm"))</f>
        <v>Genetic Algorithm</v>
      </c>
      <c r="AZ5">
        <f>MIN(AL5,AQ5,AV5)</f>
        <v>17753.551905051299</v>
      </c>
      <c r="BA5">
        <f>AZ5/F5</f>
        <v>1.0856760545062116</v>
      </c>
      <c r="BB5">
        <v>17753.551905051299</v>
      </c>
      <c r="BC5">
        <f>BB5/F5</f>
        <v>1.0856760545062116</v>
      </c>
      <c r="BD5">
        <v>0.35</v>
      </c>
      <c r="BE5">
        <v>5</v>
      </c>
      <c r="BF5">
        <v>5</v>
      </c>
    </row>
    <row r="6" spans="1:58" x14ac:dyDescent="0.3">
      <c r="A6">
        <v>63</v>
      </c>
      <c r="B6">
        <v>25</v>
      </c>
      <c r="C6">
        <v>17.395952129155901</v>
      </c>
      <c r="D6">
        <v>618.16904505242201</v>
      </c>
      <c r="E6">
        <f>SQRT(D6)</f>
        <v>24.863005551469879</v>
      </c>
      <c r="F6">
        <v>19528.896999808901</v>
      </c>
      <c r="G6">
        <v>2.1781999967060901E-3</v>
      </c>
      <c r="H6">
        <v>22972.527766344501</v>
      </c>
      <c r="I6">
        <f>H6/F6</f>
        <v>1.1763351389773471</v>
      </c>
      <c r="J6">
        <v>3.17819998599588E-3</v>
      </c>
      <c r="K6">
        <v>2027.64055804496</v>
      </c>
      <c r="L6" t="s">
        <v>44</v>
      </c>
      <c r="M6">
        <v>0</v>
      </c>
      <c r="N6">
        <v>15</v>
      </c>
      <c r="O6">
        <f>(N6+1)/B6</f>
        <v>0.64</v>
      </c>
      <c r="P6">
        <v>21090.736767792001</v>
      </c>
      <c r="Q6">
        <f>P6/F6</f>
        <v>1.0799758310978025</v>
      </c>
      <c r="R6">
        <v>2.1781999967060901E-3</v>
      </c>
      <c r="S6">
        <v>3</v>
      </c>
      <c r="T6">
        <f>(S6+1)/B6</f>
        <v>0.16</v>
      </c>
      <c r="U6">
        <v>20633.758384935201</v>
      </c>
      <c r="V6">
        <f>U6/F6</f>
        <v>1.0565757187995364</v>
      </c>
      <c r="W6">
        <v>5.7879998348653295E-4</v>
      </c>
      <c r="X6" t="str">
        <f>IF(H6=MIN(H6,P6,U6),"Christofides",IF(P6=MIN(H6,P6,U6),"Arithmetic Series","Nearest Neighbor"))</f>
        <v>Nearest Neighbor</v>
      </c>
      <c r="Y6">
        <f>MIN(H6,P6,U6)</f>
        <v>20633.758384935201</v>
      </c>
      <c r="Z6">
        <f>Y6/F6</f>
        <v>1.0565757187995364</v>
      </c>
      <c r="AA6">
        <v>2253</v>
      </c>
      <c r="AB6">
        <v>2499</v>
      </c>
      <c r="AC6">
        <f>AA6/AB6</f>
        <v>0.90156062424969985</v>
      </c>
      <c r="AD6">
        <v>0</v>
      </c>
      <c r="AE6">
        <v>20633.758384935201</v>
      </c>
      <c r="AF6">
        <v>3</v>
      </c>
      <c r="AG6">
        <f>AF6/AB6</f>
        <v>1.2004801920768306E-3</v>
      </c>
      <c r="AH6" s="1">
        <v>1.09139364212751E-11</v>
      </c>
      <c r="AI6" s="4">
        <v>20633.758384935201</v>
      </c>
      <c r="AJ6" s="4">
        <v>568</v>
      </c>
      <c r="AK6" s="4">
        <f>AJ6/AB6</f>
        <v>0.22729091636654661</v>
      </c>
      <c r="AL6">
        <v>20545.941531140899</v>
      </c>
      <c r="AM6">
        <f>AL6/F6</f>
        <v>1.0520789541437978</v>
      </c>
      <c r="AN6">
        <v>2.9430200054775899E-2</v>
      </c>
      <c r="AO6">
        <v>6</v>
      </c>
      <c r="AP6">
        <f>AO6/10</f>
        <v>0.6</v>
      </c>
      <c r="AQ6">
        <v>20545.941531140899</v>
      </c>
      <c r="AR6">
        <f>AQ6/F6</f>
        <v>1.0520789541437978</v>
      </c>
      <c r="AS6">
        <v>8.0530099978204803E-2</v>
      </c>
      <c r="AT6">
        <v>54</v>
      </c>
      <c r="AU6">
        <f>AT6/100</f>
        <v>0.54</v>
      </c>
      <c r="AV6">
        <v>20545.941531140899</v>
      </c>
      <c r="AW6">
        <f>AV6/F6</f>
        <v>1.0520789541437978</v>
      </c>
      <c r="AX6">
        <v>3.0239399988204199E-2</v>
      </c>
      <c r="AY6" t="str">
        <f>IF(AL6=MIN(AL6,AQ6,AV6),"Simulated Annealing",IF(AQ6=MIN(AL6,AQ6,AV6),"Ant Colony Optimization","Genetic Algorithm"))</f>
        <v>Simulated Annealing</v>
      </c>
      <c r="AZ6">
        <f>MIN(AL6,AQ6,AV6)</f>
        <v>20545.941531140899</v>
      </c>
      <c r="BA6">
        <f>AZ6/F6</f>
        <v>1.0520789541437978</v>
      </c>
      <c r="BB6">
        <v>20545.941531140899</v>
      </c>
      <c r="BC6">
        <f>BB6/F6</f>
        <v>1.0520789541437978</v>
      </c>
      <c r="BD6">
        <v>0.31900000000000001</v>
      </c>
      <c r="BE6">
        <v>5</v>
      </c>
      <c r="BF6">
        <v>5</v>
      </c>
    </row>
    <row r="7" spans="1:58" x14ac:dyDescent="0.3">
      <c r="A7">
        <v>3</v>
      </c>
      <c r="B7">
        <v>30</v>
      </c>
      <c r="C7">
        <v>12.0859694547848</v>
      </c>
      <c r="D7">
        <v>348.56230536581103</v>
      </c>
      <c r="E7">
        <f>SQRT(D7)</f>
        <v>18.669823388715038</v>
      </c>
      <c r="F7">
        <v>19588.569019077899</v>
      </c>
      <c r="G7">
        <v>3.44010000117123E-3</v>
      </c>
      <c r="H7">
        <v>23863.202371573501</v>
      </c>
      <c r="I7">
        <f>H7/F7</f>
        <v>1.2182208076726997</v>
      </c>
      <c r="J7">
        <v>6.4589999965392001E-3</v>
      </c>
      <c r="K7">
        <v>3178.6508485764002</v>
      </c>
      <c r="L7" t="s">
        <v>44</v>
      </c>
      <c r="M7">
        <v>1</v>
      </c>
      <c r="N7">
        <v>10</v>
      </c>
      <c r="O7">
        <f>(N7+1)/B7</f>
        <v>0.36666666666666664</v>
      </c>
      <c r="P7">
        <v>25352.541735732299</v>
      </c>
      <c r="Q7">
        <f>P7/F7</f>
        <v>1.2942518522430451</v>
      </c>
      <c r="R7">
        <v>3.44010000117123E-3</v>
      </c>
      <c r="S7">
        <v>19</v>
      </c>
      <c r="T7">
        <f>(S7+1)/B7</f>
        <v>0.66666666666666663</v>
      </c>
      <c r="U7">
        <v>24134.953605819501</v>
      </c>
      <c r="V7">
        <f>U7/F7</f>
        <v>1.2320937574517945</v>
      </c>
      <c r="W7">
        <v>1.0156999342143501E-3</v>
      </c>
      <c r="X7" t="str">
        <f>IF(H7=MIN(H7,P7,U7),"Christofides",IF(P7=MIN(H7,P7,U7),"Arithmetic Series","Nearest Neighbor"))</f>
        <v>Christofides</v>
      </c>
      <c r="Y7">
        <f>MIN(H7,P7,U7)</f>
        <v>23863.202371573501</v>
      </c>
      <c r="Z7">
        <f>Y7/F7</f>
        <v>1.2182208076726997</v>
      </c>
      <c r="AA7">
        <v>2408</v>
      </c>
      <c r="AB7">
        <v>2999</v>
      </c>
      <c r="AC7">
        <f>AA7/AB7</f>
        <v>0.80293431143714566</v>
      </c>
      <c r="AD7">
        <v>0</v>
      </c>
      <c r="AE7">
        <v>23766.7144959578</v>
      </c>
      <c r="AF7">
        <v>29</v>
      </c>
      <c r="AG7">
        <f>AF7/AB7</f>
        <v>9.6698899633211079E-3</v>
      </c>
      <c r="AH7" s="1">
        <v>1.09139364212751E-11</v>
      </c>
      <c r="AI7" s="4">
        <v>23734.4562423803</v>
      </c>
      <c r="AJ7" s="4">
        <v>149</v>
      </c>
      <c r="AK7" s="4">
        <f>AJ7/AB7</f>
        <v>4.9683227742580861E-2</v>
      </c>
      <c r="AL7">
        <v>23158.2069293446</v>
      </c>
      <c r="AM7">
        <f>AL7/F7</f>
        <v>1.1822306625251759</v>
      </c>
      <c r="AN7">
        <v>4.1018599993549197E-2</v>
      </c>
      <c r="AO7">
        <v>4</v>
      </c>
      <c r="AP7">
        <f>AO7/10</f>
        <v>0.4</v>
      </c>
      <c r="AQ7">
        <v>22188.783504016399</v>
      </c>
      <c r="AR7">
        <f>AQ7/F7</f>
        <v>1.1327414208973647</v>
      </c>
      <c r="AS7">
        <v>0.11319829999411</v>
      </c>
      <c r="AT7">
        <v>56</v>
      </c>
      <c r="AU7">
        <f>AT7/100</f>
        <v>0.56000000000000005</v>
      </c>
      <c r="AV7">
        <v>23534.0021255469</v>
      </c>
      <c r="AW7">
        <f>AV7/F7</f>
        <v>1.2014150754262052</v>
      </c>
      <c r="AX7">
        <v>4.4064999994589002E-2</v>
      </c>
      <c r="AY7" t="str">
        <f>IF(AL7=MIN(AL7,AQ7,AV7),"Simulated Annealing",IF(AQ7=MIN(AL7,AQ7,AV7),"Ant Colony Optimization","Genetic Algorithm"))</f>
        <v>Ant Colony Optimization</v>
      </c>
      <c r="AZ7">
        <f>MIN(AL7,AQ7,AV7)</f>
        <v>22188.783504016399</v>
      </c>
      <c r="BA7">
        <f>AZ7/F7</f>
        <v>1.1327414208973647</v>
      </c>
      <c r="BB7">
        <v>22093.5925102814</v>
      </c>
      <c r="BC7">
        <f>BB7/F7</f>
        <v>1.127881903408247</v>
      </c>
      <c r="BD7">
        <v>0.28699999999999998</v>
      </c>
      <c r="BE7">
        <v>5</v>
      </c>
      <c r="BF7">
        <v>5.0250000000000004</v>
      </c>
    </row>
    <row r="8" spans="1:58" x14ac:dyDescent="0.3">
      <c r="A8">
        <v>64</v>
      </c>
      <c r="B8">
        <v>35</v>
      </c>
      <c r="C8">
        <v>9.62238436847292</v>
      </c>
      <c r="D8">
        <v>402.772499033364</v>
      </c>
      <c r="E8">
        <f>SQRT(D8)</f>
        <v>20.069192784797398</v>
      </c>
      <c r="F8">
        <v>22322.414934076802</v>
      </c>
      <c r="G8">
        <v>4.7753999824635598E-3</v>
      </c>
      <c r="H8">
        <v>27651.738956249901</v>
      </c>
      <c r="I8">
        <f>H8/F8</f>
        <v>1.2387431663604414</v>
      </c>
      <c r="J8">
        <v>5.3104999824426999E-3</v>
      </c>
      <c r="K8">
        <v>4606.1735349995297</v>
      </c>
      <c r="L8" t="s">
        <v>44</v>
      </c>
      <c r="M8">
        <v>0</v>
      </c>
      <c r="N8">
        <v>28</v>
      </c>
      <c r="O8">
        <f>(N8+1)/B8</f>
        <v>0.82857142857142863</v>
      </c>
      <c r="P8">
        <v>31511.104284467201</v>
      </c>
      <c r="Q8">
        <f>P8/F8</f>
        <v>1.4116350931351604</v>
      </c>
      <c r="R8">
        <v>4.7753999824635598E-3</v>
      </c>
      <c r="S8">
        <v>17</v>
      </c>
      <c r="T8">
        <f>(S8+1)/B8</f>
        <v>0.51428571428571423</v>
      </c>
      <c r="U8">
        <v>27220.606298338698</v>
      </c>
      <c r="V8">
        <f>U8/F8</f>
        <v>1.2194292767483883</v>
      </c>
      <c r="W8">
        <v>1.3999000075273201E-3</v>
      </c>
      <c r="X8" t="str">
        <f>IF(H8=MIN(H8,P8,U8),"Christofides",IF(P8=MIN(H8,P8,U8),"Arithmetic Series","Nearest Neighbor"))</f>
        <v>Nearest Neighbor</v>
      </c>
      <c r="Y8">
        <f>MIN(H8,P8,U8)</f>
        <v>27220.606298338698</v>
      </c>
      <c r="Z8">
        <f>Y8/F8</f>
        <v>1.2194292767483883</v>
      </c>
      <c r="AA8">
        <v>3303</v>
      </c>
      <c r="AB8">
        <v>3499</v>
      </c>
      <c r="AC8">
        <f>AA8/AB8</f>
        <v>0.94398399542726497</v>
      </c>
      <c r="AD8">
        <v>0</v>
      </c>
      <c r="AE8">
        <v>27220.606298338698</v>
      </c>
      <c r="AF8">
        <v>4</v>
      </c>
      <c r="AG8">
        <f>AF8/AB8</f>
        <v>1.1431837667905116E-3</v>
      </c>
      <c r="AH8" s="1">
        <v>7.2759576141834202E-12</v>
      </c>
      <c r="AI8" s="4">
        <v>26063.050634347699</v>
      </c>
      <c r="AJ8" s="4">
        <v>821</v>
      </c>
      <c r="AK8" s="4">
        <f>AJ8/AB8</f>
        <v>0.2346384681337525</v>
      </c>
      <c r="AL8">
        <v>25435.117996101901</v>
      </c>
      <c r="AM8">
        <f>AL8/F8</f>
        <v>1.1394429353283515</v>
      </c>
      <c r="AN8">
        <v>5.96830999711528E-2</v>
      </c>
      <c r="AO8">
        <v>4</v>
      </c>
      <c r="AP8">
        <f>AO8/10</f>
        <v>0.4</v>
      </c>
      <c r="AQ8">
        <v>26341.002712630299</v>
      </c>
      <c r="AR8">
        <f>AQ8/F8</f>
        <v>1.1800247773559136</v>
      </c>
      <c r="AS8">
        <v>0.16556460002902801</v>
      </c>
      <c r="AT8">
        <v>0</v>
      </c>
      <c r="AU8">
        <f>AT8/100</f>
        <v>0</v>
      </c>
      <c r="AV8">
        <v>27220.606298338698</v>
      </c>
      <c r="AW8">
        <f>AV8/F8</f>
        <v>1.2194292767483883</v>
      </c>
      <c r="AX8">
        <v>6.9052199949510396E-2</v>
      </c>
      <c r="AY8" t="str">
        <f>IF(AL8=MIN(AL8,AQ8,AV8),"Simulated Annealing",IF(AQ8=MIN(AL8,AQ8,AV8),"Ant Colony Optimization","Genetic Algorithm"))</f>
        <v>Simulated Annealing</v>
      </c>
      <c r="AZ8">
        <f>MIN(AL8,AQ8,AV8)</f>
        <v>25435.117996101901</v>
      </c>
      <c r="BA8">
        <f>AZ8/F8</f>
        <v>1.1394429353283515</v>
      </c>
      <c r="BB8">
        <v>24980.991356023402</v>
      </c>
      <c r="BC8">
        <f>BB8/F8</f>
        <v>1.1190989608336726</v>
      </c>
      <c r="BD8">
        <v>0.33500000000000002</v>
      </c>
      <c r="BE8">
        <v>5</v>
      </c>
      <c r="BF8">
        <v>5</v>
      </c>
    </row>
    <row r="9" spans="1:58" x14ac:dyDescent="0.3">
      <c r="A9">
        <v>4</v>
      </c>
      <c r="B9">
        <v>40</v>
      </c>
      <c r="C9">
        <v>7.5936045988879899</v>
      </c>
      <c r="D9">
        <v>173.166867972517</v>
      </c>
      <c r="E9">
        <f>SQRT(D9)</f>
        <v>13.159288277582379</v>
      </c>
      <c r="F9">
        <v>22888.783754092499</v>
      </c>
      <c r="G9">
        <v>7.5257000280544101E-3</v>
      </c>
      <c r="H9">
        <v>28459.5991172254</v>
      </c>
      <c r="I9">
        <f>H9/F9</f>
        <v>1.2433862551625026</v>
      </c>
      <c r="J9">
        <v>7.6723000092897503E-3</v>
      </c>
      <c r="K9">
        <v>6356.3488744631404</v>
      </c>
      <c r="L9" t="s">
        <v>44</v>
      </c>
      <c r="M9">
        <v>0</v>
      </c>
      <c r="N9">
        <v>34</v>
      </c>
      <c r="O9">
        <f>(N9+1)/B9</f>
        <v>0.875</v>
      </c>
      <c r="P9">
        <v>32132.0675676725</v>
      </c>
      <c r="Q9">
        <f>P9/F9</f>
        <v>1.403834642892605</v>
      </c>
      <c r="R9">
        <v>7.5257000280544101E-3</v>
      </c>
      <c r="S9">
        <v>12</v>
      </c>
      <c r="T9">
        <f>(S9+1)/B9</f>
        <v>0.32500000000000001</v>
      </c>
      <c r="U9">
        <v>31154.375175792102</v>
      </c>
      <c r="V9">
        <f>U9/F9</f>
        <v>1.3611197305414588</v>
      </c>
      <c r="W9">
        <v>2.0345000084489502E-3</v>
      </c>
      <c r="X9" t="str">
        <f>IF(H9=MIN(H9,P9,U9),"Christofides",IF(P9=MIN(H9,P9,U9),"Arithmetic Series","Nearest Neighbor"))</f>
        <v>Christofides</v>
      </c>
      <c r="Y9">
        <f>MIN(H9,P9,U9)</f>
        <v>28459.5991172254</v>
      </c>
      <c r="Z9">
        <f>Y9/F9</f>
        <v>1.2433862551625026</v>
      </c>
      <c r="AA9">
        <v>3804</v>
      </c>
      <c r="AB9">
        <v>3999</v>
      </c>
      <c r="AC9">
        <f>AA9/AB9</f>
        <v>0.95123780945236314</v>
      </c>
      <c r="AD9">
        <v>0</v>
      </c>
      <c r="AE9">
        <v>28459.5991172254</v>
      </c>
      <c r="AF9">
        <v>73</v>
      </c>
      <c r="AG9">
        <f>AF9/AB9</f>
        <v>1.8254563640910229E-2</v>
      </c>
      <c r="AH9" s="1">
        <v>7.2759576141834202E-12</v>
      </c>
      <c r="AI9" s="4">
        <v>27282.5002314458</v>
      </c>
      <c r="AJ9" s="4">
        <v>894</v>
      </c>
      <c r="AK9" s="4">
        <f>AJ9/AB9</f>
        <v>0.22355588897224307</v>
      </c>
      <c r="AL9">
        <v>26458.949471284301</v>
      </c>
      <c r="AM9">
        <f>AL9/F9</f>
        <v>1.1559788303104335</v>
      </c>
      <c r="AN9">
        <v>6.9200400001136503E-2</v>
      </c>
      <c r="AO9">
        <v>1</v>
      </c>
      <c r="AP9">
        <f>AO9/10</f>
        <v>0.1</v>
      </c>
      <c r="AQ9">
        <v>28459.5991172254</v>
      </c>
      <c r="AR9">
        <f>AQ9/F9</f>
        <v>1.2433862551625026</v>
      </c>
      <c r="AS9">
        <v>0.21513160000904399</v>
      </c>
      <c r="AT9">
        <v>9</v>
      </c>
      <c r="AU9">
        <f>AT9/100</f>
        <v>0.09</v>
      </c>
      <c r="AV9">
        <v>28437.0218212617</v>
      </c>
      <c r="AW9">
        <f>AV9/F9</f>
        <v>1.2423998639148828</v>
      </c>
      <c r="AX9">
        <v>8.3568900008685804E-2</v>
      </c>
      <c r="AY9" t="str">
        <f>IF(AL9=MIN(AL9,AQ9,AV9),"Simulated Annealing",IF(AQ9=MIN(AL9,AQ9,AV9),"Ant Colony Optimization","Genetic Algorithm"))</f>
        <v>Simulated Annealing</v>
      </c>
      <c r="AZ9">
        <f>MIN(AL9,AQ9,AV9)</f>
        <v>26458.949471284301</v>
      </c>
      <c r="BA9">
        <f>AZ9/F9</f>
        <v>1.1559788303104335</v>
      </c>
      <c r="BB9">
        <v>25614.440122588701</v>
      </c>
      <c r="BC9">
        <f>BB9/F9</f>
        <v>1.1190826213301464</v>
      </c>
      <c r="BD9">
        <v>0.30399999999999999</v>
      </c>
      <c r="BE9">
        <v>5</v>
      </c>
      <c r="BF9">
        <v>5.0339999999999998</v>
      </c>
    </row>
    <row r="10" spans="1:58" x14ac:dyDescent="0.3">
      <c r="A10">
        <v>65</v>
      </c>
      <c r="B10">
        <v>45</v>
      </c>
      <c r="C10">
        <v>5.8677179678791003</v>
      </c>
      <c r="D10">
        <v>95.813920672439593</v>
      </c>
      <c r="E10">
        <f>SQRT(D10)</f>
        <v>9.7884585442468719</v>
      </c>
      <c r="F10">
        <v>25531.026964721401</v>
      </c>
      <c r="G10">
        <v>1.0409699985757401E-2</v>
      </c>
      <c r="H10">
        <v>28023.754824266001</v>
      </c>
      <c r="I10">
        <f>H10/F10</f>
        <v>1.0976352366471209</v>
      </c>
      <c r="J10">
        <v>8.74159997329115E-3</v>
      </c>
      <c r="K10">
        <v>8411.5070484096996</v>
      </c>
      <c r="L10" t="s">
        <v>44</v>
      </c>
      <c r="M10">
        <v>0</v>
      </c>
      <c r="N10">
        <v>32</v>
      </c>
      <c r="O10">
        <f>(N10+1)/B10</f>
        <v>0.73333333333333328</v>
      </c>
      <c r="P10">
        <v>31601.5445892155</v>
      </c>
      <c r="Q10">
        <f>P10/F10</f>
        <v>1.2377702092783929</v>
      </c>
      <c r="R10">
        <v>1.0409699985757401E-2</v>
      </c>
      <c r="S10">
        <v>44</v>
      </c>
      <c r="T10">
        <f>(S10+1)/B10</f>
        <v>1</v>
      </c>
      <c r="U10">
        <v>27711.3194047574</v>
      </c>
      <c r="V10">
        <f>U10/F10</f>
        <v>1.0853977571309104</v>
      </c>
      <c r="W10">
        <v>2.7765000122599299E-3</v>
      </c>
      <c r="X10" t="str">
        <f>IF(H10=MIN(H10,P10,U10),"Christofides",IF(P10=MIN(H10,P10,U10),"Arithmetic Series","Nearest Neighbor"))</f>
        <v>Nearest Neighbor</v>
      </c>
      <c r="Y10">
        <f>MIN(H10,P10,U10)</f>
        <v>27711.3194047574</v>
      </c>
      <c r="Z10">
        <f>Y10/F10</f>
        <v>1.0853977571309104</v>
      </c>
      <c r="AA10">
        <v>2682</v>
      </c>
      <c r="AB10">
        <v>4055</v>
      </c>
      <c r="AC10">
        <f>AA10/AB10</f>
        <v>0.66140567200986433</v>
      </c>
      <c r="AD10">
        <v>0</v>
      </c>
      <c r="AE10">
        <v>27711.3194047574</v>
      </c>
      <c r="AF10">
        <v>7</v>
      </c>
      <c r="AG10">
        <f>AF10/AB10</f>
        <v>1.7262638717632551E-3</v>
      </c>
      <c r="AH10" s="1">
        <v>1.45519152283668E-11</v>
      </c>
      <c r="AI10" s="4">
        <v>27218.360988333799</v>
      </c>
      <c r="AJ10" s="4">
        <v>2689</v>
      </c>
      <c r="AK10" s="4">
        <f>AJ10/AB10</f>
        <v>0.66313193588162767</v>
      </c>
      <c r="AL10">
        <v>27218.360988333799</v>
      </c>
      <c r="AM10">
        <f>AL10/F10</f>
        <v>1.0660895476685659</v>
      </c>
      <c r="AN10">
        <v>8.9930700021795901E-2</v>
      </c>
      <c r="AO10">
        <v>10</v>
      </c>
      <c r="AP10">
        <f>AO10/10</f>
        <v>1</v>
      </c>
      <c r="AQ10">
        <v>27253.286827583201</v>
      </c>
      <c r="AR10">
        <f>AQ10/F10</f>
        <v>1.0674575239469062</v>
      </c>
      <c r="AS10">
        <v>0.27171559998532702</v>
      </c>
      <c r="AT10">
        <v>32</v>
      </c>
      <c r="AU10">
        <f>AT10/100</f>
        <v>0.32</v>
      </c>
      <c r="AV10">
        <v>27245.732961708101</v>
      </c>
      <c r="AW10">
        <f>AV10/F10</f>
        <v>1.0671616539105955</v>
      </c>
      <c r="AX10">
        <v>0.10799009999027399</v>
      </c>
      <c r="AY10" t="str">
        <f>IF(AL10=MIN(AL10,AQ10,AV10),"Simulated Annealing",IF(AQ10=MIN(AL10,AQ10,AV10),"Ant Colony Optimization","Genetic Algorithm"))</f>
        <v>Simulated Annealing</v>
      </c>
      <c r="AZ10">
        <f>MIN(AL10,AQ10,AV10)</f>
        <v>27218.360988333799</v>
      </c>
      <c r="BA10">
        <f>AZ10/F10</f>
        <v>1.0660895476685659</v>
      </c>
      <c r="BB10">
        <v>27014.908210874699</v>
      </c>
      <c r="BC10">
        <f>BB10/F10</f>
        <v>1.0581207034172073</v>
      </c>
      <c r="BD10">
        <v>0.32</v>
      </c>
      <c r="BE10">
        <v>5</v>
      </c>
      <c r="BF10">
        <v>5</v>
      </c>
    </row>
    <row r="11" spans="1:58" x14ac:dyDescent="0.3">
      <c r="A11">
        <v>5</v>
      </c>
      <c r="B11">
        <v>50</v>
      </c>
      <c r="C11">
        <v>5.50313927918645</v>
      </c>
      <c r="D11">
        <v>324.18309091853001</v>
      </c>
      <c r="E11">
        <f>SQRT(D11)</f>
        <v>18.005085140552101</v>
      </c>
      <c r="F11">
        <v>26778.015756977002</v>
      </c>
      <c r="G11">
        <v>1.40341999940574E-2</v>
      </c>
      <c r="H11">
        <v>35401.594817597703</v>
      </c>
      <c r="I11">
        <f>H11/F11</f>
        <v>1.3220395095321367</v>
      </c>
      <c r="J11">
        <v>1.08536999905481E-2</v>
      </c>
      <c r="K11">
        <v>10789.0822166162</v>
      </c>
      <c r="L11" t="s">
        <v>44</v>
      </c>
      <c r="M11">
        <v>1</v>
      </c>
      <c r="N11">
        <v>31</v>
      </c>
      <c r="O11">
        <f>(N11+1)/B11</f>
        <v>0.64</v>
      </c>
      <c r="P11">
        <v>36188.943539575397</v>
      </c>
      <c r="Q11">
        <f>P11/F11</f>
        <v>1.3514423125300605</v>
      </c>
      <c r="R11">
        <v>1.40341999940574E-2</v>
      </c>
      <c r="S11">
        <v>29</v>
      </c>
      <c r="T11">
        <f>(S11+1)/B11</f>
        <v>0.6</v>
      </c>
      <c r="U11">
        <v>34005.556934011402</v>
      </c>
      <c r="V11">
        <f>U11/F11</f>
        <v>1.2699057780317897</v>
      </c>
      <c r="W11">
        <v>5.3579999366775103E-3</v>
      </c>
      <c r="X11" t="str">
        <f>IF(H11=MIN(H11,P11,U11),"Christofides",IF(P11=MIN(H11,P11,U11),"Arithmetic Series","Nearest Neighbor"))</f>
        <v>Nearest Neighbor</v>
      </c>
      <c r="Y11">
        <f>MIN(H11,P11,U11)</f>
        <v>34005.556934011402</v>
      </c>
      <c r="Z11">
        <f>Y11/F11</f>
        <v>1.2699057780317897</v>
      </c>
      <c r="AA11">
        <v>2650</v>
      </c>
      <c r="AB11">
        <v>4066</v>
      </c>
      <c r="AC11">
        <f>AA11/AB11</f>
        <v>0.65174618789965566</v>
      </c>
      <c r="AD11">
        <v>0</v>
      </c>
      <c r="AE11">
        <v>33916.720234057997</v>
      </c>
      <c r="AF11">
        <v>132</v>
      </c>
      <c r="AG11">
        <f>AF11/AB11</f>
        <v>3.2464338416133789E-2</v>
      </c>
      <c r="AH11" s="1">
        <v>1.81898940354585E-11</v>
      </c>
      <c r="AI11" s="4">
        <v>32031.5620055695</v>
      </c>
      <c r="AJ11" s="4">
        <v>3042</v>
      </c>
      <c r="AK11" s="4">
        <f>AJ11/AB11</f>
        <v>0.74815543531726514</v>
      </c>
      <c r="AL11">
        <v>32031.5620055695</v>
      </c>
      <c r="AM11">
        <f>AL11/F11</f>
        <v>1.1961887802393905</v>
      </c>
      <c r="AN11">
        <v>8.9817600004607798E-2</v>
      </c>
      <c r="AO11">
        <v>4</v>
      </c>
      <c r="AP11">
        <f>AO11/10</f>
        <v>0.4</v>
      </c>
      <c r="AQ11">
        <v>33979.339942392799</v>
      </c>
      <c r="AR11">
        <f>AQ11/F11</f>
        <v>1.2689267289544968</v>
      </c>
      <c r="AS11">
        <v>0.36705059999076101</v>
      </c>
      <c r="AT11">
        <v>84</v>
      </c>
      <c r="AU11">
        <f>AT11/100</f>
        <v>0.84</v>
      </c>
      <c r="AV11">
        <v>33556.714146036102</v>
      </c>
      <c r="AW11">
        <f>AV11/F11</f>
        <v>1.2531441631291487</v>
      </c>
      <c r="AX11">
        <v>0.149258299992652</v>
      </c>
      <c r="AY11" t="str">
        <f>IF(AL11=MIN(AL11,AQ11,AV11),"Simulated Annealing",IF(AQ11=MIN(AL11,AQ11,AV11),"Ant Colony Optimization","Genetic Algorithm"))</f>
        <v>Simulated Annealing</v>
      </c>
      <c r="AZ11">
        <f>MIN(AL11,AQ11,AV11)</f>
        <v>32031.5620055695</v>
      </c>
      <c r="BA11">
        <f>AZ11/F11</f>
        <v>1.1961887802393905</v>
      </c>
      <c r="BB11">
        <v>30823.189180257101</v>
      </c>
      <c r="BC11">
        <f>BB11/F11</f>
        <v>1.1510632251467747</v>
      </c>
      <c r="BD11">
        <v>0.33600000000000002</v>
      </c>
      <c r="BE11">
        <v>5</v>
      </c>
      <c r="BF11">
        <v>5</v>
      </c>
    </row>
    <row r="12" spans="1:58" x14ac:dyDescent="0.3">
      <c r="A12">
        <v>66</v>
      </c>
      <c r="B12">
        <v>55</v>
      </c>
      <c r="C12">
        <v>4.0189022153104696</v>
      </c>
      <c r="D12">
        <v>120.069346360483</v>
      </c>
      <c r="E12">
        <f>SQRT(D12)</f>
        <v>10.957615906778399</v>
      </c>
      <c r="F12">
        <v>24606.069034005999</v>
      </c>
      <c r="G12">
        <v>1.7568699957337199E-2</v>
      </c>
      <c r="H12">
        <v>33756.271108975001</v>
      </c>
      <c r="I12">
        <f>H12/F12</f>
        <v>1.3718676909474354</v>
      </c>
      <c r="J12">
        <v>1.28216000157408E-2</v>
      </c>
      <c r="K12">
        <v>13495.6953883732</v>
      </c>
      <c r="L12" t="s">
        <v>44</v>
      </c>
      <c r="M12">
        <v>1</v>
      </c>
      <c r="N12">
        <v>5</v>
      </c>
      <c r="O12">
        <f>(N12+1)/B12</f>
        <v>0.10909090909090909</v>
      </c>
      <c r="P12">
        <v>33210.876066430501</v>
      </c>
      <c r="Q12">
        <f>P12/F12</f>
        <v>1.3497026290762866</v>
      </c>
      <c r="R12">
        <v>1.7568699957337199E-2</v>
      </c>
      <c r="S12">
        <v>36</v>
      </c>
      <c r="T12">
        <f>(S12+1)/B12</f>
        <v>0.67272727272727273</v>
      </c>
      <c r="U12">
        <v>31281.159117969499</v>
      </c>
      <c r="V12">
        <f>U12/F12</f>
        <v>1.2712781986727915</v>
      </c>
      <c r="W12">
        <v>4.9564999644644498E-3</v>
      </c>
      <c r="X12" t="str">
        <f>IF(H12=MIN(H12,P12,U12),"Christofides",IF(P12=MIN(H12,P12,U12),"Arithmetic Series","Nearest Neighbor"))</f>
        <v>Nearest Neighbor</v>
      </c>
      <c r="Y12">
        <f>MIN(H12,P12,U12)</f>
        <v>31281.159117969499</v>
      </c>
      <c r="Z12">
        <f>Y12/F12</f>
        <v>1.2712781986727915</v>
      </c>
      <c r="AA12">
        <v>3588</v>
      </c>
      <c r="AB12">
        <v>4075</v>
      </c>
      <c r="AC12">
        <f>AA12/AB12</f>
        <v>0.88049079754601223</v>
      </c>
      <c r="AD12">
        <v>0</v>
      </c>
      <c r="AE12">
        <v>31281.159117969499</v>
      </c>
      <c r="AF12">
        <v>158</v>
      </c>
      <c r="AG12">
        <f>AF12/AB12</f>
        <v>3.8773006134969326E-2</v>
      </c>
      <c r="AH12" s="1">
        <v>1.45519152283668E-11</v>
      </c>
      <c r="AI12" s="4">
        <v>31281.159117969499</v>
      </c>
      <c r="AJ12" s="4">
        <v>158</v>
      </c>
      <c r="AK12" s="4">
        <f>AJ12/AB12</f>
        <v>3.8773006134969326E-2</v>
      </c>
      <c r="AL12">
        <v>29798.140834535701</v>
      </c>
      <c r="AM12">
        <f>AL12/F12</f>
        <v>1.2110077718368657</v>
      </c>
      <c r="AN12">
        <v>9.6126799995545298E-2</v>
      </c>
      <c r="AO12">
        <v>0</v>
      </c>
      <c r="AP12">
        <f>AO12/10</f>
        <v>0</v>
      </c>
      <c r="AQ12">
        <v>31281.159117969499</v>
      </c>
      <c r="AR12">
        <f>AQ12/F12</f>
        <v>1.2712781986727915</v>
      </c>
      <c r="AS12">
        <v>0.44916800002101798</v>
      </c>
      <c r="AT12">
        <v>90</v>
      </c>
      <c r="AU12">
        <f>AT12/100</f>
        <v>0.9</v>
      </c>
      <c r="AV12">
        <v>30646.687372590099</v>
      </c>
      <c r="AW12">
        <f>AV12/F12</f>
        <v>1.2454930257342554</v>
      </c>
      <c r="AX12">
        <v>0.18862979998811999</v>
      </c>
      <c r="AY12" t="str">
        <f>IF(AL12=MIN(AL12,AQ12,AV12),"Simulated Annealing",IF(AQ12=MIN(AL12,AQ12,AV12),"Ant Colony Optimization","Genetic Algorithm"))</f>
        <v>Simulated Annealing</v>
      </c>
      <c r="AZ12">
        <f>MIN(AL12,AQ12,AV12)</f>
        <v>29798.140834535701</v>
      </c>
      <c r="BA12">
        <f>AZ12/F12</f>
        <v>1.2110077718368657</v>
      </c>
      <c r="BB12">
        <v>28614.5768837459</v>
      </c>
      <c r="BC12">
        <f>BB12/F12</f>
        <v>1.1629072829227649</v>
      </c>
      <c r="BD12">
        <v>0.28799999999999998</v>
      </c>
      <c r="BE12">
        <v>5</v>
      </c>
      <c r="BF12">
        <v>5.1059999999999999</v>
      </c>
    </row>
    <row r="13" spans="1:58" x14ac:dyDescent="0.3">
      <c r="A13">
        <v>6</v>
      </c>
      <c r="B13">
        <v>60</v>
      </c>
      <c r="C13">
        <v>3.1908999096369999</v>
      </c>
      <c r="D13">
        <v>30.856101650525499</v>
      </c>
      <c r="E13">
        <f>SQRT(D13)</f>
        <v>5.5548268785377548</v>
      </c>
      <c r="F13">
        <v>27802.604594992099</v>
      </c>
      <c r="G13">
        <v>2.19888999126851E-2</v>
      </c>
      <c r="H13">
        <v>35740.233918015001</v>
      </c>
      <c r="I13">
        <f>H13/F13</f>
        <v>1.2854994860608366</v>
      </c>
      <c r="J13">
        <v>1.5283700005966201E-2</v>
      </c>
      <c r="K13">
        <v>16531.8579759534</v>
      </c>
      <c r="L13" t="s">
        <v>44</v>
      </c>
      <c r="M13">
        <v>0</v>
      </c>
      <c r="N13">
        <v>24</v>
      </c>
      <c r="O13">
        <f>(N13+1)/B13</f>
        <v>0.41666666666666669</v>
      </c>
      <c r="P13">
        <v>38624.667808955397</v>
      </c>
      <c r="Q13">
        <f>P13/F13</f>
        <v>1.3892463807478168</v>
      </c>
      <c r="R13">
        <v>2.19888999126851E-2</v>
      </c>
      <c r="S13">
        <v>27</v>
      </c>
      <c r="T13">
        <f>(S13+1)/B13</f>
        <v>0.46666666666666667</v>
      </c>
      <c r="U13">
        <v>37116.928060003796</v>
      </c>
      <c r="V13">
        <f>U13/F13</f>
        <v>1.3350162188289878</v>
      </c>
      <c r="W13">
        <v>6.1582999769598202E-3</v>
      </c>
      <c r="X13" t="str">
        <f>IF(H13=MIN(H13,P13,U13),"Christofides",IF(P13=MIN(H13,P13,U13),"Arithmetic Series","Nearest Neighbor"))</f>
        <v>Christofides</v>
      </c>
      <c r="Y13">
        <f>MIN(H13,P13,U13)</f>
        <v>35740.233918015001</v>
      </c>
      <c r="Z13">
        <f>Y13/F13</f>
        <v>1.2854994860608366</v>
      </c>
      <c r="AA13">
        <v>3112</v>
      </c>
      <c r="AB13">
        <v>4084</v>
      </c>
      <c r="AC13">
        <f>AA13/AB13</f>
        <v>0.761998041136141</v>
      </c>
      <c r="AD13">
        <v>0</v>
      </c>
      <c r="AE13">
        <v>35418.825798369398</v>
      </c>
      <c r="AF13">
        <v>61</v>
      </c>
      <c r="AG13">
        <f>AF13/AB13</f>
        <v>1.4936336924583741E-2</v>
      </c>
      <c r="AH13">
        <v>5.1451878449443003</v>
      </c>
      <c r="AI13" s="4">
        <v>34812.593637405902</v>
      </c>
      <c r="AJ13" s="4">
        <v>156</v>
      </c>
      <c r="AK13" s="4">
        <f>AJ13/AB13</f>
        <v>3.8197845249755141E-2</v>
      </c>
      <c r="AL13">
        <v>32705.444451451502</v>
      </c>
      <c r="AM13">
        <f>AL13/F13</f>
        <v>1.1763446241055602</v>
      </c>
      <c r="AN13">
        <v>0.103756299999076</v>
      </c>
      <c r="AO13">
        <v>10</v>
      </c>
      <c r="AP13">
        <f>AO13/10</f>
        <v>1</v>
      </c>
      <c r="AQ13">
        <v>33162.844035890201</v>
      </c>
      <c r="AR13">
        <f>AQ13/F13</f>
        <v>1.1927963052016934</v>
      </c>
      <c r="AS13">
        <v>0.52477279999584403</v>
      </c>
      <c r="AT13">
        <v>4</v>
      </c>
      <c r="AU13">
        <f>AT13/100</f>
        <v>0.04</v>
      </c>
      <c r="AV13">
        <v>35730.044207400402</v>
      </c>
      <c r="AW13">
        <f>AV13/F13</f>
        <v>1.2851329840455388</v>
      </c>
      <c r="AX13">
        <v>0.22480429999995899</v>
      </c>
      <c r="AY13" t="str">
        <f>IF(AL13=MIN(AL13,AQ13,AV13),"Simulated Annealing",IF(AQ13=MIN(AL13,AQ13,AV13),"Ant Colony Optimization","Genetic Algorithm"))</f>
        <v>Simulated Annealing</v>
      </c>
      <c r="AZ13">
        <f>MIN(AL13,AQ13,AV13)</f>
        <v>32705.444451451502</v>
      </c>
      <c r="BA13">
        <f>AZ13/F13</f>
        <v>1.1763446241055602</v>
      </c>
      <c r="BB13">
        <v>32052.647438060201</v>
      </c>
      <c r="BC13">
        <f>BB13/F13</f>
        <v>1.1528649169737728</v>
      </c>
      <c r="BD13">
        <v>0.27200000000000002</v>
      </c>
      <c r="BE13">
        <v>5</v>
      </c>
      <c r="BF13">
        <v>5.0220000000000002</v>
      </c>
    </row>
    <row r="14" spans="1:58" x14ac:dyDescent="0.3">
      <c r="A14">
        <v>67</v>
      </c>
      <c r="B14">
        <v>65</v>
      </c>
      <c r="C14">
        <v>2.84766375289301</v>
      </c>
      <c r="D14">
        <v>36.602934290502397</v>
      </c>
      <c r="E14">
        <f>SQRT(D14)</f>
        <v>6.0500358916705936</v>
      </c>
      <c r="F14">
        <v>28682.8140893093</v>
      </c>
      <c r="G14">
        <v>2.9582299990579399E-2</v>
      </c>
      <c r="H14">
        <v>36320.427736685502</v>
      </c>
      <c r="I14">
        <f>H14/F14</f>
        <v>1.266278393172827</v>
      </c>
      <c r="J14">
        <v>1.7779099987819701E-2</v>
      </c>
      <c r="K14">
        <v>19914.972535315799</v>
      </c>
      <c r="L14" t="s">
        <v>44</v>
      </c>
      <c r="M14">
        <v>0</v>
      </c>
      <c r="N14">
        <v>57</v>
      </c>
      <c r="O14">
        <f>(N14+1)/B14</f>
        <v>0.89230769230769236</v>
      </c>
      <c r="P14">
        <v>36583.658588090802</v>
      </c>
      <c r="Q14">
        <f>P14/F14</f>
        <v>1.2754556953226677</v>
      </c>
      <c r="R14">
        <v>2.9582299990579399E-2</v>
      </c>
      <c r="S14">
        <v>34</v>
      </c>
      <c r="T14">
        <f>(S14+1)/B14</f>
        <v>0.53846153846153844</v>
      </c>
      <c r="U14">
        <v>32750.105378946198</v>
      </c>
      <c r="V14">
        <f>U14/F14</f>
        <v>1.1418023795354468</v>
      </c>
      <c r="W14">
        <v>1.21877000201493E-2</v>
      </c>
      <c r="X14" t="str">
        <f>IF(H14=MIN(H14,P14,U14),"Christofides",IF(P14=MIN(H14,P14,U14),"Arithmetic Series","Nearest Neighbor"))</f>
        <v>Nearest Neighbor</v>
      </c>
      <c r="Y14">
        <f>MIN(H14,P14,U14)</f>
        <v>32750.105378946198</v>
      </c>
      <c r="Z14">
        <f>Y14/F14</f>
        <v>1.1418023795354468</v>
      </c>
      <c r="AA14">
        <v>3871</v>
      </c>
      <c r="AB14">
        <v>4092</v>
      </c>
      <c r="AC14">
        <f>AA14/AB14</f>
        <v>0.94599217986314765</v>
      </c>
      <c r="AD14">
        <v>0</v>
      </c>
      <c r="AE14">
        <v>32663.388370056</v>
      </c>
      <c r="AF14">
        <v>75</v>
      </c>
      <c r="AG14">
        <f>AF14/AB14</f>
        <v>1.8328445747800588E-2</v>
      </c>
      <c r="AH14" s="1">
        <v>7.2759576141834202E-12</v>
      </c>
      <c r="AI14" s="4">
        <v>32663.388370056</v>
      </c>
      <c r="AJ14" s="4">
        <v>199</v>
      </c>
      <c r="AK14" s="4">
        <f>AJ14/AB14</f>
        <v>4.8631476050830888E-2</v>
      </c>
      <c r="AL14">
        <v>32409.883951897398</v>
      </c>
      <c r="AM14">
        <f>AL14/F14</f>
        <v>1.129940871595903</v>
      </c>
      <c r="AN14">
        <v>0.11507309996522901</v>
      </c>
      <c r="AO14">
        <v>10</v>
      </c>
      <c r="AP14">
        <f>AO14/10</f>
        <v>1</v>
      </c>
      <c r="AQ14">
        <v>31817.1656760242</v>
      </c>
      <c r="AR14">
        <f>AQ14/F14</f>
        <v>1.1092762926592736</v>
      </c>
      <c r="AS14">
        <v>0.61395490000722897</v>
      </c>
      <c r="AT14">
        <v>83</v>
      </c>
      <c r="AU14">
        <f>AT14/100</f>
        <v>0.83</v>
      </c>
      <c r="AV14">
        <v>32563.2012366854</v>
      </c>
      <c r="AW14">
        <f>AV14/F14</f>
        <v>1.1352861380788437</v>
      </c>
      <c r="AX14">
        <v>0.26785639999434302</v>
      </c>
      <c r="AY14" t="str">
        <f>IF(AL14=MIN(AL14,AQ14,AV14),"Simulated Annealing",IF(AQ14=MIN(AL14,AQ14,AV14),"Ant Colony Optimization","Genetic Algorithm"))</f>
        <v>Ant Colony Optimization</v>
      </c>
      <c r="AZ14">
        <f>MIN(AL14,AQ14,AV14)</f>
        <v>31817.1656760242</v>
      </c>
      <c r="BA14">
        <f>AZ14/F14</f>
        <v>1.1092762926592736</v>
      </c>
      <c r="BB14">
        <v>30789.3510299193</v>
      </c>
      <c r="BC14">
        <f>BB14/F14</f>
        <v>1.0734424779260119</v>
      </c>
      <c r="BD14">
        <v>0.28799999999999998</v>
      </c>
      <c r="BE14">
        <v>5</v>
      </c>
      <c r="BF14">
        <v>5.0510000000000002</v>
      </c>
    </row>
    <row r="15" spans="1:58" x14ac:dyDescent="0.3">
      <c r="A15">
        <v>7</v>
      </c>
      <c r="B15">
        <v>70</v>
      </c>
      <c r="C15">
        <v>2.6014911783751602</v>
      </c>
      <c r="D15">
        <v>29.933580130594599</v>
      </c>
      <c r="E15">
        <f>SQRT(D15)</f>
        <v>5.4711589385243231</v>
      </c>
      <c r="F15">
        <v>30625.2868639976</v>
      </c>
      <c r="G15">
        <v>3.58368000015616E-2</v>
      </c>
      <c r="H15">
        <v>38565.014405663598</v>
      </c>
      <c r="I15">
        <f>H15/F15</f>
        <v>1.2592539810949417</v>
      </c>
      <c r="J15">
        <v>2.5215999994543301E-2</v>
      </c>
      <c r="K15">
        <v>23646.573329340601</v>
      </c>
      <c r="L15" t="s">
        <v>44</v>
      </c>
      <c r="M15">
        <v>0</v>
      </c>
      <c r="N15">
        <v>40</v>
      </c>
      <c r="O15">
        <f>(N15+1)/B15</f>
        <v>0.58571428571428574</v>
      </c>
      <c r="P15">
        <v>36472.339756571702</v>
      </c>
      <c r="Q15">
        <f>P15/F15</f>
        <v>1.1909223877163992</v>
      </c>
      <c r="R15">
        <v>3.58368000015616E-2</v>
      </c>
      <c r="S15">
        <v>40</v>
      </c>
      <c r="T15">
        <f>(S15+1)/B15</f>
        <v>0.58571428571428574</v>
      </c>
      <c r="U15">
        <v>36472.339756571702</v>
      </c>
      <c r="V15">
        <f>U15/F15</f>
        <v>1.1909223877163992</v>
      </c>
      <c r="W15">
        <v>1.07678999193012E-2</v>
      </c>
      <c r="X15" t="str">
        <f>IF(H15=MIN(H15,P15,U15),"Christofides",IF(P15=MIN(H15,P15,U15),"Arithmetic Series","Nearest Neighbor"))</f>
        <v>Arithmetic Series</v>
      </c>
      <c r="Y15">
        <f>MIN(H15,P15,U15)</f>
        <v>36472.339756571702</v>
      </c>
      <c r="Z15">
        <f>Y15/F15</f>
        <v>1.1909223877163992</v>
      </c>
      <c r="AA15">
        <v>1499</v>
      </c>
      <c r="AB15">
        <v>4099</v>
      </c>
      <c r="AC15">
        <f>AA15/AB15</f>
        <v>0.36569895096364968</v>
      </c>
      <c r="AD15">
        <v>0</v>
      </c>
      <c r="AE15">
        <v>36472.339756571702</v>
      </c>
      <c r="AF15">
        <v>42</v>
      </c>
      <c r="AG15">
        <f>AF15/AB15</f>
        <v>1.0246401561356429E-2</v>
      </c>
      <c r="AH15" s="1">
        <v>2.18278728425502E-11</v>
      </c>
      <c r="AI15" s="4">
        <v>35190.8197304758</v>
      </c>
      <c r="AJ15" s="4">
        <v>647</v>
      </c>
      <c r="AK15" s="4">
        <f>AJ15/AB15</f>
        <v>0.15784337643327642</v>
      </c>
      <c r="AL15">
        <v>34519.256375058998</v>
      </c>
      <c r="AM15">
        <f>AL15/F15</f>
        <v>1.1271488338494247</v>
      </c>
      <c r="AN15">
        <v>0.11681619999581</v>
      </c>
      <c r="AO15">
        <v>2</v>
      </c>
      <c r="AP15">
        <f>AO15/10</f>
        <v>0.2</v>
      </c>
      <c r="AQ15">
        <v>36331.640979094402</v>
      </c>
      <c r="AR15">
        <f>AQ15/F15</f>
        <v>1.1863281849550629</v>
      </c>
      <c r="AS15">
        <v>0.73098459999891896</v>
      </c>
      <c r="AT15">
        <v>0</v>
      </c>
      <c r="AU15">
        <f>AT15/100</f>
        <v>0</v>
      </c>
      <c r="AV15">
        <v>36472.3397565716</v>
      </c>
      <c r="AW15">
        <f>AV15/F15</f>
        <v>1.1909223877163959</v>
      </c>
      <c r="AX15">
        <v>0.32783019999624202</v>
      </c>
      <c r="AY15" t="str">
        <f>IF(AL15=MIN(AL15,AQ15,AV15),"Simulated Annealing",IF(AQ15=MIN(AL15,AQ15,AV15),"Ant Colony Optimization","Genetic Algorithm"))</f>
        <v>Simulated Annealing</v>
      </c>
      <c r="AZ15">
        <f>MIN(AL15,AQ15,AV15)</f>
        <v>34519.256375058998</v>
      </c>
      <c r="BA15">
        <f>AZ15/F15</f>
        <v>1.1271488338494247</v>
      </c>
      <c r="BB15">
        <v>34059.435647600003</v>
      </c>
      <c r="BC15">
        <f>BB15/F15</f>
        <v>1.112134420123245</v>
      </c>
      <c r="BD15">
        <v>0.27200000000000002</v>
      </c>
      <c r="BE15">
        <v>5</v>
      </c>
      <c r="BF15">
        <v>5.048</v>
      </c>
    </row>
    <row r="16" spans="1:58" x14ac:dyDescent="0.3">
      <c r="A16">
        <v>68</v>
      </c>
      <c r="B16">
        <v>75</v>
      </c>
      <c r="C16">
        <v>2.3018046434665802</v>
      </c>
      <c r="D16">
        <v>62.903320824389702</v>
      </c>
      <c r="E16">
        <f>SQRT(D16)</f>
        <v>7.9311613792930542</v>
      </c>
      <c r="F16">
        <v>29890.473923024299</v>
      </c>
      <c r="G16">
        <v>4.2203799996059298E-2</v>
      </c>
      <c r="H16">
        <v>38273.847443862403</v>
      </c>
      <c r="I16">
        <f>H16/F16</f>
        <v>1.2804697423810496</v>
      </c>
      <c r="J16">
        <v>2.4622500000987198E-2</v>
      </c>
      <c r="K16">
        <v>27721.920397764901</v>
      </c>
      <c r="L16" t="s">
        <v>44</v>
      </c>
      <c r="M16">
        <v>0</v>
      </c>
      <c r="N16">
        <v>67</v>
      </c>
      <c r="O16">
        <f>(N16+1)/B16</f>
        <v>0.90666666666666662</v>
      </c>
      <c r="P16">
        <v>44461.667594532802</v>
      </c>
      <c r="Q16">
        <f>P16/F16</f>
        <v>1.4874862041007813</v>
      </c>
      <c r="R16">
        <v>4.2203799996059298E-2</v>
      </c>
      <c r="S16">
        <v>58</v>
      </c>
      <c r="T16">
        <f>(S16+1)/B16</f>
        <v>0.78666666666666663</v>
      </c>
      <c r="U16">
        <v>39206.478836018898</v>
      </c>
      <c r="V16">
        <f>U16/F16</f>
        <v>1.3116713685097707</v>
      </c>
      <c r="W16">
        <v>1.21911999885924E-2</v>
      </c>
      <c r="X16" t="str">
        <f>IF(H16=MIN(H16,P16,U16),"Christofides",IF(P16=MIN(H16,P16,U16),"Arithmetic Series","Nearest Neighbor"))</f>
        <v>Christofides</v>
      </c>
      <c r="Y16">
        <f>MIN(H16,P16,U16)</f>
        <v>38273.847443862403</v>
      </c>
      <c r="Z16">
        <f>Y16/F16</f>
        <v>1.2804697423810496</v>
      </c>
      <c r="AA16">
        <v>4016</v>
      </c>
      <c r="AB16">
        <v>4106</v>
      </c>
      <c r="AC16">
        <f>AA16/AB16</f>
        <v>0.97808085728202632</v>
      </c>
      <c r="AD16">
        <v>0</v>
      </c>
      <c r="AE16">
        <v>38273.847443862403</v>
      </c>
      <c r="AF16">
        <v>15</v>
      </c>
      <c r="AG16">
        <f>AF16/AB16</f>
        <v>3.653190452995616E-3</v>
      </c>
      <c r="AH16" s="1">
        <v>2.18278728425502E-11</v>
      </c>
      <c r="AI16" s="4">
        <v>36719.110565363102</v>
      </c>
      <c r="AJ16" s="4">
        <v>1763</v>
      </c>
      <c r="AK16" s="4">
        <f>AJ16/AB16</f>
        <v>0.42937165124208476</v>
      </c>
      <c r="AL16">
        <v>35732.241934932899</v>
      </c>
      <c r="AM16">
        <f>AL16/F16</f>
        <v>1.1954391230782311</v>
      </c>
      <c r="AN16">
        <v>0.128521599981468</v>
      </c>
      <c r="AO16">
        <v>4</v>
      </c>
      <c r="AP16">
        <f>AO16/10</f>
        <v>0.4</v>
      </c>
      <c r="AQ16">
        <v>38050.069363848299</v>
      </c>
      <c r="AR16">
        <f>AQ16/F16</f>
        <v>1.2729831404425727</v>
      </c>
      <c r="AS16">
        <v>0.86546579998685003</v>
      </c>
      <c r="AT16">
        <v>15</v>
      </c>
      <c r="AU16">
        <f>AT16/100</f>
        <v>0.15</v>
      </c>
      <c r="AV16">
        <v>38169.589833544102</v>
      </c>
      <c r="AW16">
        <f>AV16/F16</f>
        <v>1.2769817545161937</v>
      </c>
      <c r="AX16">
        <v>0.38251560000935497</v>
      </c>
      <c r="AY16" t="str">
        <f>IF(AL16=MIN(AL16,AQ16,AV16),"Simulated Annealing",IF(AQ16=MIN(AL16,AQ16,AV16),"Ant Colony Optimization","Genetic Algorithm"))</f>
        <v>Simulated Annealing</v>
      </c>
      <c r="AZ16">
        <f>MIN(AL16,AQ16,AV16)</f>
        <v>35732.241934932899</v>
      </c>
      <c r="BA16">
        <f>AZ16/F16</f>
        <v>1.1954391230782311</v>
      </c>
      <c r="BB16">
        <v>34178.996529670403</v>
      </c>
      <c r="BC16">
        <f>BB16/F16</f>
        <v>1.1434745604131322</v>
      </c>
      <c r="BD16">
        <v>0.28799999999999998</v>
      </c>
      <c r="BE16">
        <v>5</v>
      </c>
      <c r="BF16">
        <v>5.0350000000000001</v>
      </c>
    </row>
    <row r="17" spans="1:58" x14ac:dyDescent="0.3">
      <c r="A17">
        <v>8</v>
      </c>
      <c r="B17">
        <v>80</v>
      </c>
      <c r="C17">
        <v>2.0324959572923298</v>
      </c>
      <c r="D17">
        <v>18.284202104931499</v>
      </c>
      <c r="E17">
        <f>SQRT(D17)</f>
        <v>4.2760030524932393</v>
      </c>
      <c r="F17">
        <v>31821.588540682798</v>
      </c>
      <c r="G17">
        <v>5.3099800017662298E-2</v>
      </c>
      <c r="H17">
        <v>40820.333323589301</v>
      </c>
      <c r="I17">
        <f>H17/F17</f>
        <v>1.2827874155748673</v>
      </c>
      <c r="J17">
        <v>2.74553999915951E-2</v>
      </c>
      <c r="K17">
        <v>32165.214205067601</v>
      </c>
      <c r="L17" t="s">
        <v>44</v>
      </c>
      <c r="M17">
        <v>0</v>
      </c>
      <c r="N17">
        <v>35</v>
      </c>
      <c r="O17">
        <f>(N17+1)/B17</f>
        <v>0.45</v>
      </c>
      <c r="P17">
        <v>45091.109020716598</v>
      </c>
      <c r="Q17">
        <f>P17/F17</f>
        <v>1.416997424973589</v>
      </c>
      <c r="R17">
        <v>5.3099800017662298E-2</v>
      </c>
      <c r="S17">
        <v>18</v>
      </c>
      <c r="T17">
        <f>(S17+1)/B17</f>
        <v>0.23749999999999999</v>
      </c>
      <c r="U17">
        <v>39915.107449336399</v>
      </c>
      <c r="V17">
        <f>U17/F17</f>
        <v>1.2543405052926984</v>
      </c>
      <c r="W17">
        <v>1.46187000209465E-2</v>
      </c>
      <c r="X17" t="str">
        <f>IF(H17=MIN(H17,P17,U17),"Christofides",IF(P17=MIN(H17,P17,U17),"Arithmetic Series","Nearest Neighbor"))</f>
        <v>Nearest Neighbor</v>
      </c>
      <c r="Y17">
        <f>MIN(H17,P17,U17)</f>
        <v>39915.107449336399</v>
      </c>
      <c r="Z17">
        <f>Y17/F17</f>
        <v>1.2543405052926984</v>
      </c>
      <c r="AA17">
        <v>3380</v>
      </c>
      <c r="AB17">
        <v>4113</v>
      </c>
      <c r="AC17">
        <f>AA17/AB17</f>
        <v>0.8217845854607343</v>
      </c>
      <c r="AD17">
        <v>0</v>
      </c>
      <c r="AE17">
        <v>39915.107449336399</v>
      </c>
      <c r="AF17">
        <v>74</v>
      </c>
      <c r="AG17">
        <f>AF17/AB17</f>
        <v>1.799173352783856E-2</v>
      </c>
      <c r="AH17" s="1">
        <v>2.18278728425502E-11</v>
      </c>
      <c r="AI17" s="4">
        <v>38053.378911819796</v>
      </c>
      <c r="AJ17" s="4">
        <v>2875</v>
      </c>
      <c r="AK17" s="4">
        <f>AJ17/AB17</f>
        <v>0.69900316070994406</v>
      </c>
      <c r="AL17">
        <v>37575.727513099897</v>
      </c>
      <c r="AM17">
        <f>AL17/F17</f>
        <v>1.1808250070564714</v>
      </c>
      <c r="AN17">
        <v>0.14303249999647899</v>
      </c>
      <c r="AO17">
        <v>4</v>
      </c>
      <c r="AP17">
        <f>AO17/10</f>
        <v>0.4</v>
      </c>
      <c r="AQ17">
        <v>39697.634537001897</v>
      </c>
      <c r="AR17">
        <f>AQ17/F17</f>
        <v>1.2475063740532577</v>
      </c>
      <c r="AS17">
        <v>0.97049870000046201</v>
      </c>
      <c r="AT17">
        <v>53</v>
      </c>
      <c r="AU17">
        <f>AT17/100</f>
        <v>0.53</v>
      </c>
      <c r="AV17">
        <v>39576.6051172558</v>
      </c>
      <c r="AW17">
        <f>AV17/F17</f>
        <v>1.2437029995111175</v>
      </c>
      <c r="AX17">
        <v>0.42935649999708397</v>
      </c>
      <c r="AY17" t="str">
        <f>IF(AL17=MIN(AL17,AQ17,AV17),"Simulated Annealing",IF(AQ17=MIN(AL17,AQ17,AV17),"Ant Colony Optimization","Genetic Algorithm"))</f>
        <v>Simulated Annealing</v>
      </c>
      <c r="AZ17">
        <f>MIN(AL17,AQ17,AV17)</f>
        <v>37575.727513099897</v>
      </c>
      <c r="BA17">
        <f>AZ17/F17</f>
        <v>1.1808250070564714</v>
      </c>
      <c r="BB17">
        <v>35838.592881009397</v>
      </c>
      <c r="BC17">
        <f>BB17/F17</f>
        <v>1.126235192036092</v>
      </c>
      <c r="BD17">
        <v>0.24</v>
      </c>
      <c r="BE17">
        <v>5</v>
      </c>
      <c r="BF17">
        <v>5</v>
      </c>
    </row>
    <row r="18" spans="1:58" x14ac:dyDescent="0.3">
      <c r="A18">
        <v>69</v>
      </c>
      <c r="B18">
        <v>85</v>
      </c>
      <c r="C18">
        <v>1.80964871728331</v>
      </c>
      <c r="D18">
        <v>35.835629515580401</v>
      </c>
      <c r="E18">
        <f>SQRT(D18)</f>
        <v>5.9862867886178321</v>
      </c>
      <c r="F18">
        <v>32923.617303063897</v>
      </c>
      <c r="G18">
        <v>6.3612200028728694E-2</v>
      </c>
      <c r="H18">
        <v>42037.576863635099</v>
      </c>
      <c r="I18">
        <f>H18/F18</f>
        <v>1.2768213309211029</v>
      </c>
      <c r="J18">
        <v>3.1808700005058199E-2</v>
      </c>
      <c r="K18">
        <v>36967.626247622</v>
      </c>
      <c r="L18" t="s">
        <v>44</v>
      </c>
      <c r="M18">
        <v>0</v>
      </c>
      <c r="N18">
        <v>80</v>
      </c>
      <c r="O18">
        <f>(N18+1)/B18</f>
        <v>0.95294117647058818</v>
      </c>
      <c r="P18">
        <v>46004.882325144601</v>
      </c>
      <c r="Q18">
        <f>P18/F18</f>
        <v>1.3973216217910343</v>
      </c>
      <c r="R18">
        <v>6.3612200028728694E-2</v>
      </c>
      <c r="S18">
        <v>2</v>
      </c>
      <c r="T18">
        <f>(S18+1)/B18</f>
        <v>3.5294117647058823E-2</v>
      </c>
      <c r="U18">
        <v>40368.916073869797</v>
      </c>
      <c r="V18">
        <f>U18/F18</f>
        <v>1.2261385406795211</v>
      </c>
      <c r="W18">
        <v>1.6636600019410201E-2</v>
      </c>
      <c r="X18" t="str">
        <f>IF(H18=MIN(H18,P18,U18),"Christofides",IF(P18=MIN(H18,P18,U18),"Arithmetic Series","Nearest Neighbor"))</f>
        <v>Nearest Neighbor</v>
      </c>
      <c r="Y18">
        <f>MIN(H18,P18,U18)</f>
        <v>40368.916073869797</v>
      </c>
      <c r="Z18">
        <f>Y18/F18</f>
        <v>1.2261385406795211</v>
      </c>
      <c r="AA18">
        <v>3975</v>
      </c>
      <c r="AB18">
        <v>4119</v>
      </c>
      <c r="AC18">
        <f>AA18/AB18</f>
        <v>0.96504005826656958</v>
      </c>
      <c r="AD18">
        <v>0</v>
      </c>
      <c r="AE18">
        <v>40368.916073869797</v>
      </c>
      <c r="AF18">
        <v>36</v>
      </c>
      <c r="AG18">
        <f>AF18/AB18</f>
        <v>8.7399854333576107E-3</v>
      </c>
      <c r="AH18" s="1">
        <v>3.6379788070917097E-11</v>
      </c>
      <c r="AI18" s="4">
        <v>40368.916073869797</v>
      </c>
      <c r="AJ18" s="4">
        <v>36</v>
      </c>
      <c r="AK18" s="4">
        <f>AJ18/AB18</f>
        <v>8.7399854333576107E-3</v>
      </c>
      <c r="AL18">
        <v>38825.828157153701</v>
      </c>
      <c r="AM18">
        <f>AL18/F18</f>
        <v>1.1792698171576834</v>
      </c>
      <c r="AN18">
        <v>0.16247009998187401</v>
      </c>
      <c r="AO18">
        <v>8</v>
      </c>
      <c r="AP18">
        <f>AO18/10</f>
        <v>0.8</v>
      </c>
      <c r="AQ18">
        <v>39439.752426033097</v>
      </c>
      <c r="AR18">
        <f>AQ18/F18</f>
        <v>1.1979167435639826</v>
      </c>
      <c r="AS18">
        <v>1.12278450001031</v>
      </c>
      <c r="AT18">
        <v>0</v>
      </c>
      <c r="AU18">
        <f>AT18/100</f>
        <v>0</v>
      </c>
      <c r="AV18">
        <v>40368.916073869797</v>
      </c>
      <c r="AW18">
        <f>AV18/F18</f>
        <v>1.2261385406795211</v>
      </c>
      <c r="AX18">
        <v>0.53378910000901603</v>
      </c>
      <c r="AY18" t="str">
        <f>IF(AL18=MIN(AL18,AQ18,AV18),"Simulated Annealing",IF(AQ18=MIN(AL18,AQ18,AV18),"Ant Colony Optimization","Genetic Algorithm"))</f>
        <v>Simulated Annealing</v>
      </c>
      <c r="AZ18">
        <f>MIN(AL18,AQ18,AV18)</f>
        <v>38825.828157153701</v>
      </c>
      <c r="BA18">
        <f>AZ18/F18</f>
        <v>1.1792698171576834</v>
      </c>
      <c r="BB18">
        <v>35654.936346863396</v>
      </c>
      <c r="BC18">
        <f>BB18/F18</f>
        <v>1.082959263517661</v>
      </c>
      <c r="BD18">
        <v>0.25600000000000001</v>
      </c>
      <c r="BE18">
        <v>5</v>
      </c>
      <c r="BF18">
        <v>5.0229999999999997</v>
      </c>
    </row>
    <row r="19" spans="1:58" x14ac:dyDescent="0.3">
      <c r="A19">
        <v>9</v>
      </c>
      <c r="B19">
        <v>90</v>
      </c>
      <c r="C19">
        <v>1.61578774720246</v>
      </c>
      <c r="D19">
        <v>27.695229519224</v>
      </c>
      <c r="E19">
        <f>SQRT(D19)</f>
        <v>5.2626257247902402</v>
      </c>
      <c r="F19">
        <v>34140.231727632599</v>
      </c>
      <c r="G19">
        <v>7.2711699991486897E-2</v>
      </c>
      <c r="H19">
        <v>42618.199830689402</v>
      </c>
      <c r="I19">
        <f>H19/F19</f>
        <v>1.2483277843774816</v>
      </c>
      <c r="J19">
        <v>3.4790500008966697E-2</v>
      </c>
      <c r="K19">
        <v>42141.542813441803</v>
      </c>
      <c r="L19" t="s">
        <v>44</v>
      </c>
      <c r="M19" t="s">
        <v>37</v>
      </c>
      <c r="N19">
        <v>19</v>
      </c>
      <c r="O19">
        <f>(N19+1)/B19</f>
        <v>0.22222222222222221</v>
      </c>
      <c r="P19">
        <v>52281.639374649101</v>
      </c>
      <c r="Q19">
        <f>P19/F19</f>
        <v>1.5313791596889812</v>
      </c>
      <c r="R19">
        <v>7.2711699991486897E-2</v>
      </c>
      <c r="S19">
        <v>55</v>
      </c>
      <c r="T19">
        <f>(S19+1)/B19</f>
        <v>0.62222222222222223</v>
      </c>
      <c r="U19">
        <v>46279.979704586498</v>
      </c>
      <c r="V19">
        <f>U19/F19</f>
        <v>1.3555848148250313</v>
      </c>
      <c r="W19">
        <v>2.0903900032863E-2</v>
      </c>
      <c r="X19" t="str">
        <f>IF(H19=MIN(H19,P19,U19),"Christofides",IF(P19=MIN(H19,P19,U19),"Arithmetic Series","Nearest Neighbor"))</f>
        <v>Christofides</v>
      </c>
      <c r="Y19">
        <f>MIN(H19,P19,U19)</f>
        <v>42618.199830689402</v>
      </c>
      <c r="Z19">
        <f>Y19/F19</f>
        <v>1.2483277843774816</v>
      </c>
      <c r="AA19">
        <v>3884</v>
      </c>
      <c r="AB19">
        <v>4124</v>
      </c>
      <c r="AC19">
        <f>AA19/AB19</f>
        <v>0.94180407371483998</v>
      </c>
      <c r="AD19">
        <v>0</v>
      </c>
      <c r="AE19">
        <v>42558.557990470203</v>
      </c>
      <c r="AF19">
        <v>186</v>
      </c>
      <c r="AG19">
        <f>AF19/AB19</f>
        <v>4.5101842870999033E-2</v>
      </c>
      <c r="AH19" s="1">
        <v>2.18278728425502E-11</v>
      </c>
      <c r="AI19" s="4">
        <v>42558.557990470203</v>
      </c>
      <c r="AJ19" s="4">
        <v>186</v>
      </c>
      <c r="AK19" s="4">
        <f>AJ19/AB19</f>
        <v>4.5101842870999033E-2</v>
      </c>
      <c r="AL19">
        <v>41589.812804029301</v>
      </c>
      <c r="AM19">
        <f>AL19/F19</f>
        <v>1.2182053459926319</v>
      </c>
      <c r="AN19">
        <v>0.162770400012959</v>
      </c>
      <c r="AO19">
        <v>0</v>
      </c>
      <c r="AP19">
        <f>AO19/10</f>
        <v>0</v>
      </c>
      <c r="AQ19">
        <v>42618.199830689402</v>
      </c>
      <c r="AR19">
        <f>AQ19/F19</f>
        <v>1.2483277843774816</v>
      </c>
      <c r="AS19">
        <v>1.2554229999950599</v>
      </c>
      <c r="AT19">
        <v>87</v>
      </c>
      <c r="AU19">
        <f>AT19/100</f>
        <v>0.87</v>
      </c>
      <c r="AV19">
        <v>42279.609338600501</v>
      </c>
      <c r="AW19">
        <f>AV19/F19</f>
        <v>1.238410145423237</v>
      </c>
      <c r="AX19">
        <v>0.60611060001247097</v>
      </c>
      <c r="AY19" t="str">
        <f>IF(AL19=MIN(AL19,AQ19,AV19),"Simulated Annealing",IF(AQ19=MIN(AL19,AQ19,AV19),"Ant Colony Optimization","Genetic Algorithm"))</f>
        <v>Simulated Annealing</v>
      </c>
      <c r="AZ19">
        <f>MIN(AL19,AQ19,AV19)</f>
        <v>41589.812804029301</v>
      </c>
      <c r="BA19">
        <f>AZ19/F19</f>
        <v>1.2182053459926319</v>
      </c>
      <c r="BB19">
        <v>37834.424067265099</v>
      </c>
      <c r="BC19">
        <f>BB19/F19</f>
        <v>1.1082064225311767</v>
      </c>
      <c r="BD19">
        <v>0.223</v>
      </c>
      <c r="BE19">
        <v>5</v>
      </c>
      <c r="BF19">
        <v>5.0270000000000001</v>
      </c>
    </row>
    <row r="20" spans="1:58" x14ac:dyDescent="0.3">
      <c r="A20">
        <v>70</v>
      </c>
      <c r="B20">
        <v>95</v>
      </c>
      <c r="C20">
        <v>1.3755517956246801</v>
      </c>
      <c r="D20">
        <v>10.787072148984199</v>
      </c>
      <c r="E20">
        <f>SQRT(D20)</f>
        <v>3.2843678461743897</v>
      </c>
      <c r="F20">
        <v>34643.035124323003</v>
      </c>
      <c r="G20">
        <v>8.6378899984992999E-2</v>
      </c>
      <c r="H20">
        <v>44103.691728399397</v>
      </c>
      <c r="I20">
        <f>H20/F20</f>
        <v>1.2730897154399163</v>
      </c>
      <c r="J20">
        <v>3.8319699990097399E-2</v>
      </c>
      <c r="K20">
        <v>47684.801705488098</v>
      </c>
      <c r="L20" t="s">
        <v>44</v>
      </c>
      <c r="M20">
        <v>0</v>
      </c>
      <c r="N20">
        <v>58</v>
      </c>
      <c r="O20">
        <f>(N20+1)/B20</f>
        <v>0.62105263157894741</v>
      </c>
      <c r="P20">
        <v>45827.574923479697</v>
      </c>
      <c r="Q20">
        <f>P20/F20</f>
        <v>1.3228510365508934</v>
      </c>
      <c r="R20">
        <v>8.6378899984992999E-2</v>
      </c>
      <c r="S20">
        <v>21</v>
      </c>
      <c r="T20">
        <f>(S20+1)/B20</f>
        <v>0.23157894736842105</v>
      </c>
      <c r="U20">
        <v>42089.094793038603</v>
      </c>
      <c r="V20">
        <f>U20/F20</f>
        <v>1.2149367006093439</v>
      </c>
      <c r="W20">
        <v>2.43798000155948E-2</v>
      </c>
      <c r="X20" t="str">
        <f>IF(H20=MIN(H20,P20,U20),"Christofides",IF(P20=MIN(H20,P20,U20),"Arithmetic Series","Nearest Neighbor"))</f>
        <v>Nearest Neighbor</v>
      </c>
      <c r="Y20">
        <f>MIN(H20,P20,U20)</f>
        <v>42089.094793038603</v>
      </c>
      <c r="Z20">
        <f>Y20/F20</f>
        <v>1.2149367006093439</v>
      </c>
      <c r="AA20">
        <v>3571</v>
      </c>
      <c r="AB20">
        <v>4130</v>
      </c>
      <c r="AC20">
        <f>AA20/AB20</f>
        <v>0.86464891041162228</v>
      </c>
      <c r="AD20">
        <v>0</v>
      </c>
      <c r="AE20">
        <v>42089.094793038603</v>
      </c>
      <c r="AF20">
        <v>1</v>
      </c>
      <c r="AG20">
        <f>AF20/AB20</f>
        <v>2.4213075060532688E-4</v>
      </c>
      <c r="AH20" s="1">
        <v>2.18278728425502E-11</v>
      </c>
      <c r="AI20" s="4">
        <v>40523.744533823599</v>
      </c>
      <c r="AJ20" s="4">
        <v>677</v>
      </c>
      <c r="AK20" s="4">
        <f>AJ20/AB20</f>
        <v>0.1639225181598063</v>
      </c>
      <c r="AL20">
        <v>39921.4381047235</v>
      </c>
      <c r="AM20">
        <f>AL20/F20</f>
        <v>1.1523654888048336</v>
      </c>
      <c r="AN20">
        <v>0.167382200015708</v>
      </c>
      <c r="AO20">
        <v>3</v>
      </c>
      <c r="AP20">
        <f>AO20/10</f>
        <v>0.3</v>
      </c>
      <c r="AQ20">
        <v>40268.559674353601</v>
      </c>
      <c r="AR20">
        <f>AQ20/F20</f>
        <v>1.1623854413980286</v>
      </c>
      <c r="AS20">
        <v>1.4134501999942499</v>
      </c>
      <c r="AT20">
        <v>11</v>
      </c>
      <c r="AU20">
        <f>AT20/100</f>
        <v>0.11</v>
      </c>
      <c r="AV20">
        <v>42054.315727136098</v>
      </c>
      <c r="AW20">
        <f>AV20/F20</f>
        <v>1.2139327739678794</v>
      </c>
      <c r="AX20">
        <v>0.65944409999065101</v>
      </c>
      <c r="AY20" t="str">
        <f>IF(AL20=MIN(AL20,AQ20,AV20),"Simulated Annealing",IF(AQ20=MIN(AL20,AQ20,AV20),"Ant Colony Optimization","Genetic Algorithm"))</f>
        <v>Simulated Annealing</v>
      </c>
      <c r="AZ20">
        <f>MIN(AL20,AQ20,AV20)</f>
        <v>39921.4381047235</v>
      </c>
      <c r="BA20">
        <f>AZ20/F20</f>
        <v>1.1523654888048336</v>
      </c>
      <c r="BB20">
        <v>37996.210637879303</v>
      </c>
      <c r="BC20">
        <f>BB20/F20</f>
        <v>1.0967921979561781</v>
      </c>
      <c r="BD20">
        <v>0.223</v>
      </c>
      <c r="BE20">
        <v>5</v>
      </c>
      <c r="BF20">
        <v>5</v>
      </c>
    </row>
    <row r="21" spans="1:58" x14ac:dyDescent="0.3">
      <c r="A21">
        <v>10</v>
      </c>
      <c r="B21">
        <v>100</v>
      </c>
      <c r="C21">
        <v>1.3313734299559199</v>
      </c>
      <c r="D21">
        <v>19.934591581654299</v>
      </c>
      <c r="E21">
        <f>SQRT(D21)</f>
        <v>4.4648170826646751</v>
      </c>
      <c r="F21">
        <v>35514.345261417198</v>
      </c>
      <c r="G21">
        <v>0.100902600097469</v>
      </c>
      <c r="H21">
        <v>45045.639394083999</v>
      </c>
      <c r="I21">
        <f>H21/F21</f>
        <v>1.2683787090120342</v>
      </c>
      <c r="J21">
        <v>4.3464799993671401E-2</v>
      </c>
      <c r="K21">
        <v>53599.372198927304</v>
      </c>
      <c r="L21" t="s">
        <v>44</v>
      </c>
      <c r="M21">
        <v>1</v>
      </c>
      <c r="N21">
        <v>30</v>
      </c>
      <c r="O21">
        <f>(N21+1)/B21</f>
        <v>0.31</v>
      </c>
      <c r="P21">
        <v>50917.8409904484</v>
      </c>
      <c r="Q21">
        <f>P21/F21</f>
        <v>1.4337260229816362</v>
      </c>
      <c r="R21">
        <v>0.100902600097469</v>
      </c>
      <c r="S21">
        <v>32</v>
      </c>
      <c r="T21">
        <f>(S21+1)/B21</f>
        <v>0.33</v>
      </c>
      <c r="U21">
        <v>47210.442867076497</v>
      </c>
      <c r="V21">
        <f>U21/F21</f>
        <v>1.329334456810779</v>
      </c>
      <c r="W21">
        <v>2.6972600026056101E-2</v>
      </c>
      <c r="X21" t="str">
        <f>IF(H21=MIN(H21,P21,U21),"Christofides",IF(P21=MIN(H21,P21,U21),"Arithmetic Series","Nearest Neighbor"))</f>
        <v>Christofides</v>
      </c>
      <c r="Y21">
        <f>MIN(H21,P21,U21)</f>
        <v>45045.639394083999</v>
      </c>
      <c r="Z21">
        <f>Y21/F21</f>
        <v>1.2683787090120342</v>
      </c>
      <c r="AA21">
        <v>4118</v>
      </c>
      <c r="AB21">
        <v>4135</v>
      </c>
      <c r="AC21">
        <f>AA21/AB21</f>
        <v>0.99588875453446191</v>
      </c>
      <c r="AD21">
        <v>0</v>
      </c>
      <c r="AE21">
        <v>45045.639394083999</v>
      </c>
      <c r="AF21">
        <v>17</v>
      </c>
      <c r="AG21">
        <f>AF21/AB21</f>
        <v>4.1112454655380893E-3</v>
      </c>
      <c r="AH21" s="1">
        <v>4.3655745685100497E-11</v>
      </c>
      <c r="AI21" s="4">
        <v>45045.639394083999</v>
      </c>
      <c r="AJ21" s="4">
        <v>502</v>
      </c>
      <c r="AK21" s="4">
        <f>AJ21/AB21</f>
        <v>0.12140266021765417</v>
      </c>
      <c r="AL21">
        <v>44331.050312829298</v>
      </c>
      <c r="AM21">
        <f>AL21/F21</f>
        <v>1.2482575699062817</v>
      </c>
      <c r="AN21">
        <v>0.171052499994402</v>
      </c>
      <c r="AO21">
        <v>3</v>
      </c>
      <c r="AP21">
        <f>AO21/10</f>
        <v>0.3</v>
      </c>
      <c r="AQ21">
        <v>43504.507181900502</v>
      </c>
      <c r="AR21">
        <f>AQ21/F21</f>
        <v>1.2249840694420409</v>
      </c>
      <c r="AS21">
        <v>1.55658809999295</v>
      </c>
      <c r="AT21">
        <v>65</v>
      </c>
      <c r="AU21">
        <f>AT21/100</f>
        <v>0.65</v>
      </c>
      <c r="AV21">
        <v>44848.100423471202</v>
      </c>
      <c r="AW21">
        <f>AV21/F21</f>
        <v>1.2628164786186893</v>
      </c>
      <c r="AX21">
        <v>0.76685020000149895</v>
      </c>
      <c r="AY21" t="str">
        <f>IF(AL21=MIN(AL21,AQ21,AV21),"Simulated Annealing",IF(AQ21=MIN(AL21,AQ21,AV21),"Ant Colony Optimization","Genetic Algorithm"))</f>
        <v>Ant Colony Optimization</v>
      </c>
      <c r="AZ21">
        <f>MIN(AL21,AQ21,AV21)</f>
        <v>43504.507181900502</v>
      </c>
      <c r="BA21">
        <f>AZ21/F21</f>
        <v>1.2249840694420409</v>
      </c>
      <c r="BB21">
        <v>40068.565691405202</v>
      </c>
      <c r="BC21">
        <f>BB21/F21</f>
        <v>1.1282360802786842</v>
      </c>
      <c r="BD21">
        <v>0.17499999999999999</v>
      </c>
      <c r="BE21">
        <v>5</v>
      </c>
      <c r="BF21">
        <v>5.0010000000000003</v>
      </c>
    </row>
    <row r="22" spans="1:58" x14ac:dyDescent="0.3">
      <c r="A22">
        <v>71</v>
      </c>
      <c r="B22">
        <v>105</v>
      </c>
      <c r="C22">
        <v>1.20936773878383</v>
      </c>
      <c r="D22">
        <v>23.5953917255679</v>
      </c>
      <c r="E22">
        <f>SQRT(D22)</f>
        <v>4.8575087983006169</v>
      </c>
      <c r="F22">
        <v>35559.263470906102</v>
      </c>
      <c r="G22">
        <v>0.11330830003134899</v>
      </c>
      <c r="H22">
        <v>46152.301603381602</v>
      </c>
      <c r="I22">
        <f>H22/F22</f>
        <v>1.2978981311337485</v>
      </c>
      <c r="J22">
        <v>4.8010499973315697E-2</v>
      </c>
      <c r="K22">
        <v>59895.747767529203</v>
      </c>
      <c r="L22" t="s">
        <v>44</v>
      </c>
      <c r="M22">
        <v>1</v>
      </c>
      <c r="N22">
        <v>16</v>
      </c>
      <c r="O22">
        <f>(N22+1)/B22</f>
        <v>0.16190476190476191</v>
      </c>
      <c r="P22">
        <v>47636.2235481268</v>
      </c>
      <c r="Q22">
        <f>P22/F22</f>
        <v>1.3396290839123211</v>
      </c>
      <c r="R22">
        <v>0.11330830003134899</v>
      </c>
      <c r="S22">
        <v>82</v>
      </c>
      <c r="T22">
        <f>(S22+1)/B22</f>
        <v>0.79047619047619044</v>
      </c>
      <c r="U22">
        <v>43187.781464495099</v>
      </c>
      <c r="V22">
        <f>U22/F22</f>
        <v>1.2145296963147312</v>
      </c>
      <c r="W22">
        <v>3.3349500037729699E-2</v>
      </c>
      <c r="X22" t="str">
        <f>IF(H22=MIN(H22,P22,U22),"Christofides",IF(P22=MIN(H22,P22,U22),"Arithmetic Series","Nearest Neighbor"))</f>
        <v>Nearest Neighbor</v>
      </c>
      <c r="Y22">
        <f>MIN(H22,P22,U22)</f>
        <v>43187.781464495099</v>
      </c>
      <c r="Z22">
        <f>Y22/F22</f>
        <v>1.2145296963147312</v>
      </c>
      <c r="AA22">
        <v>2936</v>
      </c>
      <c r="AB22">
        <v>4140</v>
      </c>
      <c r="AC22">
        <f>AA22/AB22</f>
        <v>0.70917874396135261</v>
      </c>
      <c r="AD22">
        <v>0</v>
      </c>
      <c r="AE22">
        <v>42961.885253210799</v>
      </c>
      <c r="AF22">
        <v>525</v>
      </c>
      <c r="AG22">
        <f>AF22/AB22</f>
        <v>0.12681159420289856</v>
      </c>
      <c r="AH22" s="1">
        <v>3.6379788070917097E-11</v>
      </c>
      <c r="AI22" s="4">
        <v>42720.825677425397</v>
      </c>
      <c r="AJ22" s="4">
        <v>2001</v>
      </c>
      <c r="AK22" s="4">
        <f>AJ22/AB22</f>
        <v>0.48333333333333334</v>
      </c>
      <c r="AL22">
        <v>42503.634633827001</v>
      </c>
      <c r="AM22">
        <f>AL22/F22</f>
        <v>1.1952900731085909</v>
      </c>
      <c r="AN22">
        <v>0.18189810001058501</v>
      </c>
      <c r="AO22">
        <v>9</v>
      </c>
      <c r="AP22">
        <f>AO22/10</f>
        <v>0.9</v>
      </c>
      <c r="AQ22">
        <v>41614.034646974098</v>
      </c>
      <c r="AR22">
        <f>AQ22/F22</f>
        <v>1.1702726824199239</v>
      </c>
      <c r="AS22">
        <v>1.7652267999947</v>
      </c>
      <c r="AT22">
        <v>0</v>
      </c>
      <c r="AU22">
        <f>AT22/100</f>
        <v>0</v>
      </c>
      <c r="AV22">
        <v>43187.781464495099</v>
      </c>
      <c r="AW22">
        <f>AV22/F22</f>
        <v>1.2145296963147312</v>
      </c>
      <c r="AX22">
        <v>0.89680970000335902</v>
      </c>
      <c r="AY22" t="str">
        <f>IF(AL22=MIN(AL22,AQ22,AV22),"Simulated Annealing",IF(AQ22=MIN(AL22,AQ22,AV22),"Ant Colony Optimization","Genetic Algorithm"))</f>
        <v>Ant Colony Optimization</v>
      </c>
      <c r="AZ22">
        <f>MIN(AL22,AQ22,AV22)</f>
        <v>41614.034646974098</v>
      </c>
      <c r="BA22">
        <f>AZ22/F22</f>
        <v>1.1702726824199239</v>
      </c>
      <c r="BB22">
        <v>39082.649836310702</v>
      </c>
      <c r="BC22">
        <f>BB22/F22</f>
        <v>1.0990849084455128</v>
      </c>
      <c r="BD22">
        <v>0.159</v>
      </c>
      <c r="BE22">
        <v>5</v>
      </c>
      <c r="BF22">
        <v>5.0190000000000001</v>
      </c>
    </row>
    <row r="23" spans="1:58" x14ac:dyDescent="0.3">
      <c r="A23">
        <v>11</v>
      </c>
      <c r="B23">
        <v>110</v>
      </c>
      <c r="C23">
        <v>1.06467897582627</v>
      </c>
      <c r="D23">
        <v>12.538019092424101</v>
      </c>
      <c r="E23">
        <f>SQRT(D23)</f>
        <v>3.5409065353979763</v>
      </c>
      <c r="F23">
        <v>36939.175138871302</v>
      </c>
      <c r="G23">
        <v>0.13241829990874901</v>
      </c>
      <c r="H23">
        <v>47656.123290328796</v>
      </c>
      <c r="I23">
        <f>H23/F23</f>
        <v>1.2901241868874325</v>
      </c>
      <c r="J23">
        <v>5.3708100007497699E-2</v>
      </c>
      <c r="K23">
        <v>66573.705962462598</v>
      </c>
      <c r="L23" t="s">
        <v>44</v>
      </c>
      <c r="M23">
        <v>0</v>
      </c>
      <c r="N23">
        <v>93</v>
      </c>
      <c r="O23">
        <f>(N23+1)/B23</f>
        <v>0.8545454545454545</v>
      </c>
      <c r="P23">
        <v>49424.703103154403</v>
      </c>
      <c r="Q23">
        <f>P23/F23</f>
        <v>1.3380023489248007</v>
      </c>
      <c r="R23">
        <v>0.13241829990874901</v>
      </c>
      <c r="S23">
        <v>39</v>
      </c>
      <c r="T23">
        <f>(S23+1)/B23</f>
        <v>0.36363636363636365</v>
      </c>
      <c r="U23">
        <v>46541.881838683497</v>
      </c>
      <c r="V23">
        <f>U23/F23</f>
        <v>1.2599599656384102</v>
      </c>
      <c r="W23">
        <v>4.04762000543996E-2</v>
      </c>
      <c r="X23" t="str">
        <f>IF(H23=MIN(H23,P23,U23),"Christofides",IF(P23=MIN(H23,P23,U23),"Arithmetic Series","Nearest Neighbor"))</f>
        <v>Nearest Neighbor</v>
      </c>
      <c r="Y23">
        <f>MIN(H23,P23,U23)</f>
        <v>46541.881838683497</v>
      </c>
      <c r="Z23">
        <f>Y23/F23</f>
        <v>1.2599599656384102</v>
      </c>
      <c r="AA23">
        <v>3484</v>
      </c>
      <c r="AB23">
        <v>4144</v>
      </c>
      <c r="AC23">
        <f>AA23/AB23</f>
        <v>0.84073359073359077</v>
      </c>
      <c r="AD23">
        <v>0</v>
      </c>
      <c r="AE23">
        <v>46541.881838683497</v>
      </c>
      <c r="AF23">
        <v>104</v>
      </c>
      <c r="AG23">
        <f>AF23/AB23</f>
        <v>2.5096525096525095E-2</v>
      </c>
      <c r="AH23" s="1">
        <v>2.91038304567337E-11</v>
      </c>
      <c r="AI23" s="4">
        <v>45403.182453177098</v>
      </c>
      <c r="AJ23" s="4">
        <v>2943</v>
      </c>
      <c r="AK23" s="4">
        <f>AJ23/AB23</f>
        <v>0.71018339768339767</v>
      </c>
      <c r="AL23">
        <v>45380.291783371198</v>
      </c>
      <c r="AM23">
        <f>AL23/F23</f>
        <v>1.2285139452293092</v>
      </c>
      <c r="AN23">
        <v>0.19713659999251801</v>
      </c>
      <c r="AO23">
        <v>9</v>
      </c>
      <c r="AP23">
        <f>AO23/10</f>
        <v>0.9</v>
      </c>
      <c r="AQ23">
        <v>44755.301357366603</v>
      </c>
      <c r="AR23">
        <f>AQ23/F23</f>
        <v>1.2115944979580864</v>
      </c>
      <c r="AS23">
        <v>2.00752690000808</v>
      </c>
      <c r="AT23">
        <v>0</v>
      </c>
      <c r="AU23">
        <f>AT23/100</f>
        <v>0</v>
      </c>
      <c r="AV23">
        <v>46541.881838683497</v>
      </c>
      <c r="AW23">
        <f>AV23/F23</f>
        <v>1.2599599656384102</v>
      </c>
      <c r="AX23">
        <v>1.08295929999439</v>
      </c>
      <c r="AY23" t="str">
        <f>IF(AL23=MIN(AL23,AQ23,AV23),"Simulated Annealing",IF(AQ23=MIN(AL23,AQ23,AV23),"Ant Colony Optimization","Genetic Algorithm"))</f>
        <v>Ant Colony Optimization</v>
      </c>
      <c r="AZ23">
        <f>MIN(AL23,AQ23,AV23)</f>
        <v>44755.301357366603</v>
      </c>
      <c r="BA23">
        <f>AZ23/F23</f>
        <v>1.2115944979580864</v>
      </c>
      <c r="BB23">
        <v>41621.418265619002</v>
      </c>
      <c r="BC23">
        <f>BB23/F23</f>
        <v>1.1267554868008016</v>
      </c>
      <c r="BD23">
        <v>0.16</v>
      </c>
      <c r="BE23">
        <v>5</v>
      </c>
      <c r="BF23">
        <v>5.0199999999999996</v>
      </c>
    </row>
    <row r="24" spans="1:58" x14ac:dyDescent="0.3">
      <c r="A24">
        <v>72</v>
      </c>
      <c r="B24">
        <v>115</v>
      </c>
      <c r="C24">
        <v>0.97099278914637599</v>
      </c>
      <c r="D24">
        <v>14.399360831642801</v>
      </c>
      <c r="E24">
        <f>SQRT(D24)</f>
        <v>3.7946489734417859</v>
      </c>
      <c r="F24">
        <v>38303.437437563</v>
      </c>
      <c r="G24">
        <v>0.146143899997696</v>
      </c>
      <c r="H24">
        <v>49301.308257320103</v>
      </c>
      <c r="I24">
        <f>H24/F24</f>
        <v>1.2871249045907256</v>
      </c>
      <c r="J24">
        <v>5.8553199982270598E-2</v>
      </c>
      <c r="K24">
        <v>73633.225621499994</v>
      </c>
      <c r="L24" t="s">
        <v>44</v>
      </c>
      <c r="M24">
        <v>1</v>
      </c>
      <c r="N24">
        <v>72</v>
      </c>
      <c r="O24">
        <f>(N24+1)/B24</f>
        <v>0.63478260869565217</v>
      </c>
      <c r="P24">
        <v>51922.088571266599</v>
      </c>
      <c r="Q24">
        <f>P24/F24</f>
        <v>1.3555464481719912</v>
      </c>
      <c r="R24">
        <v>0.146143899997696</v>
      </c>
      <c r="S24">
        <v>15</v>
      </c>
      <c r="T24">
        <f>(S24+1)/B24</f>
        <v>0.1391304347826087</v>
      </c>
      <c r="U24">
        <v>46014.160980768203</v>
      </c>
      <c r="V24">
        <f>U24/F24</f>
        <v>1.2013063071891177</v>
      </c>
      <c r="W24">
        <v>4.1596199967898401E-2</v>
      </c>
      <c r="X24" t="str">
        <f>IF(H24=MIN(H24,P24,U24),"Christofides",IF(P24=MIN(H24,P24,U24),"Arithmetic Series","Nearest Neighbor"))</f>
        <v>Nearest Neighbor</v>
      </c>
      <c r="Y24">
        <f>MIN(H24,P24,U24)</f>
        <v>46014.160980768203</v>
      </c>
      <c r="Z24">
        <f>Y24/F24</f>
        <v>1.2013063071891177</v>
      </c>
      <c r="AA24">
        <v>4127</v>
      </c>
      <c r="AB24">
        <v>4149</v>
      </c>
      <c r="AC24">
        <f>AA24/AB24</f>
        <v>0.99469751747409019</v>
      </c>
      <c r="AD24">
        <v>0</v>
      </c>
      <c r="AE24">
        <v>46014.160980768203</v>
      </c>
      <c r="AF24">
        <v>145</v>
      </c>
      <c r="AG24">
        <f>AF24/AB24</f>
        <v>3.4948180284405883E-2</v>
      </c>
      <c r="AH24" s="1">
        <v>2.91038304567337E-11</v>
      </c>
      <c r="AI24" s="4">
        <v>45939.277735685202</v>
      </c>
      <c r="AJ24" s="4">
        <v>628</v>
      </c>
      <c r="AK24" s="4">
        <f>AJ24/AB24</f>
        <v>0.15136177392142686</v>
      </c>
      <c r="AL24">
        <v>45667.222619342603</v>
      </c>
      <c r="AM24">
        <f>AL24/F24</f>
        <v>1.1922486772573098</v>
      </c>
      <c r="AN24">
        <v>0.21094269998138701</v>
      </c>
      <c r="AO24">
        <v>10</v>
      </c>
      <c r="AP24">
        <f>AO24/10</f>
        <v>1</v>
      </c>
      <c r="AQ24">
        <v>45233.107581338299</v>
      </c>
      <c r="AR24">
        <f>AQ24/F24</f>
        <v>1.180915098157211</v>
      </c>
      <c r="AS24">
        <v>2.1057138000032798</v>
      </c>
      <c r="AT24">
        <v>60</v>
      </c>
      <c r="AU24">
        <f>AT24/100</f>
        <v>0.6</v>
      </c>
      <c r="AV24">
        <v>45940.603925353797</v>
      </c>
      <c r="AW24">
        <f>AV24/F24</f>
        <v>1.1993859297938954</v>
      </c>
      <c r="AX24">
        <v>1.09477590001188</v>
      </c>
      <c r="AY24" t="str">
        <f>IF(AL24=MIN(AL24,AQ24,AV24),"Simulated Annealing",IF(AQ24=MIN(AL24,AQ24,AV24),"Ant Colony Optimization","Genetic Algorithm"))</f>
        <v>Ant Colony Optimization</v>
      </c>
      <c r="AZ24">
        <f>MIN(AL24,AQ24,AV24)</f>
        <v>45233.107581338299</v>
      </c>
      <c r="BA24">
        <f>AZ24/F24</f>
        <v>1.180915098157211</v>
      </c>
      <c r="BB24">
        <v>42723.393692854603</v>
      </c>
      <c r="BC24">
        <f>BB24/F24</f>
        <v>1.1153932010017746</v>
      </c>
      <c r="BD24">
        <v>0.14399999999999999</v>
      </c>
      <c r="BE24">
        <v>5</v>
      </c>
      <c r="BF24">
        <v>5.0209999999999999</v>
      </c>
    </row>
    <row r="25" spans="1:58" x14ac:dyDescent="0.3">
      <c r="A25">
        <v>12</v>
      </c>
      <c r="B25">
        <v>120</v>
      </c>
      <c r="C25">
        <v>0.89935032998877795</v>
      </c>
      <c r="D25">
        <v>16.408841541533899</v>
      </c>
      <c r="E25">
        <f>SQRT(D25)</f>
        <v>4.0507828307049367</v>
      </c>
      <c r="F25">
        <v>37256.610550453901</v>
      </c>
      <c r="G25">
        <v>0.165121000027284</v>
      </c>
      <c r="H25">
        <v>47436.537253874703</v>
      </c>
      <c r="I25">
        <f>H25/F25</f>
        <v>1.2732381328579225</v>
      </c>
      <c r="J25">
        <v>6.8778900007600896E-2</v>
      </c>
      <c r="K25">
        <v>81090.5659817915</v>
      </c>
      <c r="L25" t="s">
        <v>44</v>
      </c>
      <c r="M25">
        <v>0</v>
      </c>
      <c r="N25">
        <v>106</v>
      </c>
      <c r="O25">
        <f>(N25+1)/B25</f>
        <v>0.89166666666666672</v>
      </c>
      <c r="P25">
        <v>47171.2640070743</v>
      </c>
      <c r="Q25">
        <f>P25/F25</f>
        <v>1.2661179669898772</v>
      </c>
      <c r="R25">
        <v>0.165121000027284</v>
      </c>
      <c r="S25">
        <v>29</v>
      </c>
      <c r="T25">
        <f>(S25+1)/B25</f>
        <v>0.25</v>
      </c>
      <c r="U25">
        <v>46365.0228135129</v>
      </c>
      <c r="V25">
        <f>U25/F25</f>
        <v>1.2444777484716207</v>
      </c>
      <c r="W25">
        <v>4.5197900035418501E-2</v>
      </c>
      <c r="X25" t="str">
        <f>IF(H25=MIN(H25,P25,U25),"Christofides",IF(P25=MIN(H25,P25,U25),"Arithmetic Series","Nearest Neighbor"))</f>
        <v>Nearest Neighbor</v>
      </c>
      <c r="Y25">
        <f>MIN(H25,P25,U25)</f>
        <v>46365.0228135129</v>
      </c>
      <c r="Z25">
        <f>Y25/F25</f>
        <v>1.2444777484716207</v>
      </c>
      <c r="AA25">
        <v>4088</v>
      </c>
      <c r="AB25">
        <v>4153</v>
      </c>
      <c r="AC25">
        <f>AA25/AB25</f>
        <v>0.98434866361666262</v>
      </c>
      <c r="AD25">
        <v>0</v>
      </c>
      <c r="AE25">
        <v>46365.0228135129</v>
      </c>
      <c r="AF25">
        <v>173</v>
      </c>
      <c r="AG25">
        <f>AF25/AB25</f>
        <v>4.1656633758728627E-2</v>
      </c>
      <c r="AH25" s="1">
        <v>4.3655745685100497E-11</v>
      </c>
      <c r="AI25" s="4">
        <v>45750.005230547402</v>
      </c>
      <c r="AJ25" s="4">
        <v>2772</v>
      </c>
      <c r="AK25" s="4">
        <f>AJ25/AB25</f>
        <v>0.66746929930170962</v>
      </c>
      <c r="AL25">
        <v>45323.635183666898</v>
      </c>
      <c r="AM25">
        <f>AL25/F25</f>
        <v>1.216525994018925</v>
      </c>
      <c r="AN25">
        <v>0.20759510000061701</v>
      </c>
      <c r="AO25">
        <v>0</v>
      </c>
      <c r="AP25">
        <f>AO25/10</f>
        <v>0</v>
      </c>
      <c r="AQ25">
        <v>46365.0228135129</v>
      </c>
      <c r="AR25">
        <f>AQ25/F25</f>
        <v>1.2444777484716207</v>
      </c>
      <c r="AS25">
        <v>2.3583690000086701</v>
      </c>
      <c r="AT25">
        <v>74</v>
      </c>
      <c r="AU25">
        <f>AT25/100</f>
        <v>0.74</v>
      </c>
      <c r="AV25">
        <v>46292.568731146697</v>
      </c>
      <c r="AW25">
        <f>AV25/F25</f>
        <v>1.2425330175555305</v>
      </c>
      <c r="AX25">
        <v>1.31356580001011</v>
      </c>
      <c r="AY25" t="str">
        <f>IF(AL25=MIN(AL25,AQ25,AV25),"Simulated Annealing",IF(AQ25=MIN(AL25,AQ25,AV25),"Ant Colony Optimization","Genetic Algorithm"))</f>
        <v>Simulated Annealing</v>
      </c>
      <c r="AZ25">
        <f>MIN(AL25,AQ25,AV25)</f>
        <v>45323.635183666898</v>
      </c>
      <c r="BA25">
        <f>AZ25/F25</f>
        <v>1.216525994018925</v>
      </c>
      <c r="BB25">
        <v>42236.889791626003</v>
      </c>
      <c r="BC25">
        <f>BB25/F25</f>
        <v>1.1336750490071466</v>
      </c>
      <c r="BD25">
        <v>0.128</v>
      </c>
      <c r="BE25">
        <v>5</v>
      </c>
      <c r="BF25">
        <v>5</v>
      </c>
    </row>
    <row r="26" spans="1:58" x14ac:dyDescent="0.3">
      <c r="A26">
        <v>73</v>
      </c>
      <c r="B26">
        <v>125</v>
      </c>
      <c r="C26">
        <v>0.80554042065543496</v>
      </c>
      <c r="D26">
        <v>6.2037837618961298</v>
      </c>
      <c r="E26">
        <f>SQRT(D26)</f>
        <v>2.4907396013827157</v>
      </c>
      <c r="F26">
        <v>37708.256071949101</v>
      </c>
      <c r="G26">
        <v>0.190834300010465</v>
      </c>
      <c r="H26">
        <v>47577.621608188201</v>
      </c>
      <c r="I26">
        <f>H26/F26</f>
        <v>1.2617295670584154</v>
      </c>
      <c r="J26">
        <v>7.0011100033298093E-2</v>
      </c>
      <c r="K26">
        <v>88936.370130105002</v>
      </c>
      <c r="L26" t="s">
        <v>44</v>
      </c>
      <c r="M26">
        <v>0</v>
      </c>
      <c r="N26">
        <v>77</v>
      </c>
      <c r="O26">
        <f>(N26+1)/B26</f>
        <v>0.624</v>
      </c>
      <c r="P26">
        <v>52870.143731172502</v>
      </c>
      <c r="Q26">
        <f>P26/F26</f>
        <v>1.4020840324806805</v>
      </c>
      <c r="R26">
        <v>0.190834300010465</v>
      </c>
      <c r="S26">
        <v>30</v>
      </c>
      <c r="T26">
        <f>(S26+1)/B26</f>
        <v>0.248</v>
      </c>
      <c r="U26">
        <v>45827.633199622003</v>
      </c>
      <c r="V26">
        <f>U26/F26</f>
        <v>1.2153209395889524</v>
      </c>
      <c r="W26">
        <v>5.4283000004943398E-2</v>
      </c>
      <c r="X26" t="str">
        <f>IF(H26=MIN(H26,P26,U26),"Christofides",IF(P26=MIN(H26,P26,U26),"Arithmetic Series","Nearest Neighbor"))</f>
        <v>Nearest Neighbor</v>
      </c>
      <c r="Y26">
        <f>MIN(H26,P26,U26)</f>
        <v>45827.633199622003</v>
      </c>
      <c r="Z26">
        <f>Y26/F26</f>
        <v>1.2153209395889524</v>
      </c>
      <c r="AA26">
        <v>3875</v>
      </c>
      <c r="AB26">
        <v>4157</v>
      </c>
      <c r="AC26">
        <f>AA26/AB26</f>
        <v>0.93216261727207117</v>
      </c>
      <c r="AD26">
        <v>0</v>
      </c>
      <c r="AE26">
        <v>45827.633199622003</v>
      </c>
      <c r="AF26">
        <v>153</v>
      </c>
      <c r="AG26">
        <f>AF26/AB26</f>
        <v>3.6805388501323068E-2</v>
      </c>
      <c r="AH26" s="1">
        <v>4.3655745685100497E-11</v>
      </c>
      <c r="AI26" s="4">
        <v>45333.6908544209</v>
      </c>
      <c r="AJ26" s="4">
        <v>1708</v>
      </c>
      <c r="AK26" s="4">
        <f>AJ26/AB26</f>
        <v>0.41087322588405101</v>
      </c>
      <c r="AL26">
        <v>45259.813513860703</v>
      </c>
      <c r="AM26">
        <f>AL26/F26</f>
        <v>1.2002627071244791</v>
      </c>
      <c r="AN26">
        <v>0.23380719998385699</v>
      </c>
      <c r="AO26">
        <v>9</v>
      </c>
      <c r="AP26">
        <f>AO26/10</f>
        <v>0.9</v>
      </c>
      <c r="AQ26">
        <v>45204.069297198497</v>
      </c>
      <c r="AR26">
        <f>AQ26/F26</f>
        <v>1.1987844044271641</v>
      </c>
      <c r="AS26">
        <v>2.5994569999747901</v>
      </c>
      <c r="AT26">
        <v>93</v>
      </c>
      <c r="AU26">
        <f>AT26/100</f>
        <v>0.93</v>
      </c>
      <c r="AV26">
        <v>45739.194731363597</v>
      </c>
      <c r="AW26">
        <f>AV26/F26</f>
        <v>1.2129756052385741</v>
      </c>
      <c r="AX26">
        <v>1.3356638000113801</v>
      </c>
      <c r="AY26" t="str">
        <f>IF(AL26=MIN(AL26,AQ26,AV26),"Simulated Annealing",IF(AQ26=MIN(AL26,AQ26,AV26),"Ant Colony Optimization","Genetic Algorithm"))</f>
        <v>Ant Colony Optimization</v>
      </c>
      <c r="AZ26">
        <f>MIN(AL26,AQ26,AV26)</f>
        <v>45204.069297198497</v>
      </c>
      <c r="BA26">
        <f>AZ26/F26</f>
        <v>1.1987844044271641</v>
      </c>
      <c r="BB26">
        <v>42028.735534656902</v>
      </c>
      <c r="BC26">
        <f>BB26/F26</f>
        <v>1.114576485702869</v>
      </c>
      <c r="BD26">
        <v>0.128</v>
      </c>
      <c r="BE26">
        <v>5</v>
      </c>
      <c r="BF26">
        <v>5</v>
      </c>
    </row>
    <row r="27" spans="1:58" x14ac:dyDescent="0.3">
      <c r="A27">
        <v>13</v>
      </c>
      <c r="B27">
        <v>130</v>
      </c>
      <c r="C27">
        <v>0.757688759446423</v>
      </c>
      <c r="D27">
        <v>4.7928656419847702</v>
      </c>
      <c r="E27">
        <f>SQRT(D27)</f>
        <v>2.1892614375594275</v>
      </c>
      <c r="F27">
        <v>37364.279392074102</v>
      </c>
      <c r="G27">
        <v>0.22577689995523501</v>
      </c>
      <c r="H27">
        <v>46652.393946620999</v>
      </c>
      <c r="I27">
        <f>H27/F27</f>
        <v>1.2485827294321414</v>
      </c>
      <c r="J27">
        <v>7.2566600007121396E-2</v>
      </c>
      <c r="K27">
        <v>97177.847528071405</v>
      </c>
      <c r="L27" t="s">
        <v>44</v>
      </c>
      <c r="M27" t="s">
        <v>37</v>
      </c>
      <c r="N27">
        <v>87</v>
      </c>
      <c r="O27">
        <f>(N27+1)/B27</f>
        <v>0.67692307692307696</v>
      </c>
      <c r="P27">
        <v>51425.069446815898</v>
      </c>
      <c r="Q27">
        <f>P27/F27</f>
        <v>1.3763163717731015</v>
      </c>
      <c r="R27">
        <v>0.22577689995523501</v>
      </c>
      <c r="S27">
        <v>26</v>
      </c>
      <c r="T27">
        <f>(S27+1)/B27</f>
        <v>0.2076923076923077</v>
      </c>
      <c r="U27">
        <v>44369.907245940398</v>
      </c>
      <c r="V27">
        <f>U27/F27</f>
        <v>1.1874953289036898</v>
      </c>
      <c r="W27">
        <v>5.5231599952094201E-2</v>
      </c>
      <c r="X27" t="str">
        <f>IF(H27=MIN(H27,P27,U27),"Christofides",IF(P27=MIN(H27,P27,U27),"Arithmetic Series","Nearest Neighbor"))</f>
        <v>Nearest Neighbor</v>
      </c>
      <c r="Y27">
        <f>MIN(H27,P27,U27)</f>
        <v>44369.907245940398</v>
      </c>
      <c r="Z27">
        <f>Y27/F27</f>
        <v>1.1874953289036898</v>
      </c>
      <c r="AA27">
        <v>3856</v>
      </c>
      <c r="AB27">
        <v>4161</v>
      </c>
      <c r="AC27">
        <f>AA27/AB27</f>
        <v>0.92670031242489781</v>
      </c>
      <c r="AD27">
        <v>0</v>
      </c>
      <c r="AE27">
        <v>44369.907245940398</v>
      </c>
      <c r="AF27">
        <v>59</v>
      </c>
      <c r="AG27">
        <f>AF27/AB27</f>
        <v>1.4179283826003364E-2</v>
      </c>
      <c r="AH27" s="1">
        <v>1.45519152283668E-11</v>
      </c>
      <c r="AI27" s="4">
        <v>43735.783755110802</v>
      </c>
      <c r="AJ27" s="4">
        <v>1454</v>
      </c>
      <c r="AK27" s="4">
        <f>AJ27/AB27</f>
        <v>0.34943523191540493</v>
      </c>
      <c r="AL27">
        <v>43441.706766285701</v>
      </c>
      <c r="AM27">
        <f>AL27/F27</f>
        <v>1.1626534078294246</v>
      </c>
      <c r="AN27">
        <v>0.215943599992897</v>
      </c>
      <c r="AO27">
        <v>0</v>
      </c>
      <c r="AP27">
        <f>AO27/10</f>
        <v>0</v>
      </c>
      <c r="AQ27">
        <v>44369.907245940398</v>
      </c>
      <c r="AR27">
        <f>AQ27/F27</f>
        <v>1.1874953289036898</v>
      </c>
      <c r="AS27">
        <v>2.81775840000773</v>
      </c>
      <c r="AT27">
        <v>0</v>
      </c>
      <c r="AU27">
        <f>AT27/100</f>
        <v>0</v>
      </c>
      <c r="AV27">
        <v>44369.907245940398</v>
      </c>
      <c r="AW27">
        <f>AV27/F27</f>
        <v>1.1874953289036898</v>
      </c>
      <c r="AX27">
        <v>1.5359751999931099</v>
      </c>
      <c r="AY27" t="str">
        <f>IF(AL27=MIN(AL27,AQ27,AV27),"Simulated Annealing",IF(AQ27=MIN(AL27,AQ27,AV27),"Ant Colony Optimization","Genetic Algorithm"))</f>
        <v>Simulated Annealing</v>
      </c>
      <c r="AZ27">
        <f>MIN(AL27,AQ27,AV27)</f>
        <v>43441.706766285701</v>
      </c>
      <c r="BA27">
        <f>AZ27/F27</f>
        <v>1.1626534078294246</v>
      </c>
      <c r="BB27">
        <v>42491.011983513097</v>
      </c>
      <c r="BC27">
        <f>BB27/F27</f>
        <v>1.1372094598063225</v>
      </c>
      <c r="BD27">
        <v>9.6000000000000002E-2</v>
      </c>
      <c r="BE27">
        <v>5</v>
      </c>
      <c r="BF27">
        <v>5.0199999999999996</v>
      </c>
    </row>
    <row r="28" spans="1:58" x14ac:dyDescent="0.3">
      <c r="A28">
        <v>74</v>
      </c>
      <c r="B28">
        <v>135</v>
      </c>
      <c r="C28">
        <v>0.69946616329589295</v>
      </c>
      <c r="D28">
        <v>16.2899572738404</v>
      </c>
      <c r="E28">
        <f>SQRT(D28)</f>
        <v>4.0360819211012551</v>
      </c>
      <c r="F28">
        <v>40065.615396125897</v>
      </c>
      <c r="G28">
        <v>0.22539149998919999</v>
      </c>
      <c r="H28">
        <v>53784.624582713703</v>
      </c>
      <c r="I28">
        <f>H28/F28</f>
        <v>1.3424135396635977</v>
      </c>
      <c r="J28">
        <v>7.9698299989104202E-2</v>
      </c>
      <c r="K28">
        <v>105815.986130962</v>
      </c>
      <c r="L28" t="s">
        <v>44</v>
      </c>
      <c r="M28" t="s">
        <v>37</v>
      </c>
      <c r="N28">
        <v>33</v>
      </c>
      <c r="O28">
        <f>(N28+1)/B28</f>
        <v>0.25185185185185183</v>
      </c>
      <c r="P28">
        <v>52519.408826835002</v>
      </c>
      <c r="Q28">
        <f>P28/F28</f>
        <v>1.310834946813604</v>
      </c>
      <c r="R28">
        <v>0.22539149998919999</v>
      </c>
      <c r="S28">
        <v>106</v>
      </c>
      <c r="T28">
        <f>(S28+1)/B28</f>
        <v>0.79259259259259263</v>
      </c>
      <c r="U28">
        <v>51790.068192823899</v>
      </c>
      <c r="V28">
        <f>U28/F28</f>
        <v>1.292631291963924</v>
      </c>
      <c r="W28">
        <v>6.3619699969422003E-2</v>
      </c>
      <c r="X28" t="str">
        <f>IF(H28=MIN(H28,P28,U28),"Christofides",IF(P28=MIN(H28,P28,U28),"Arithmetic Series","Nearest Neighbor"))</f>
        <v>Nearest Neighbor</v>
      </c>
      <c r="Y28">
        <f>MIN(H28,P28,U28)</f>
        <v>51790.068192823899</v>
      </c>
      <c r="Z28">
        <f>Y28/F28</f>
        <v>1.292631291963924</v>
      </c>
      <c r="AA28">
        <v>4076</v>
      </c>
      <c r="AB28">
        <v>4165</v>
      </c>
      <c r="AC28">
        <f>AA28/AB28</f>
        <v>0.97863145258103246</v>
      </c>
      <c r="AD28">
        <v>0</v>
      </c>
      <c r="AE28">
        <v>51401.968909727701</v>
      </c>
      <c r="AF28">
        <v>479</v>
      </c>
      <c r="AG28">
        <f>AF28/AB28</f>
        <v>0.11500600240096039</v>
      </c>
      <c r="AH28" s="1">
        <v>1.45519152283668E-11</v>
      </c>
      <c r="AI28" s="4">
        <v>51401.968909727701</v>
      </c>
      <c r="AJ28" s="4">
        <v>587</v>
      </c>
      <c r="AK28" s="4">
        <f>AJ28/AB28</f>
        <v>0.14093637454981991</v>
      </c>
      <c r="AL28">
        <v>50412.978661906302</v>
      </c>
      <c r="AM28">
        <f>AL28/F28</f>
        <v>1.2582604351256497</v>
      </c>
      <c r="AN28">
        <v>0.23220919998129799</v>
      </c>
      <c r="AO28">
        <v>0</v>
      </c>
      <c r="AP28">
        <f>AO28/10</f>
        <v>0</v>
      </c>
      <c r="AQ28">
        <v>51790.068192823899</v>
      </c>
      <c r="AR28">
        <f>AQ28/F28</f>
        <v>1.292631291963924</v>
      </c>
      <c r="AS28">
        <v>3.1528534999815698</v>
      </c>
      <c r="AT28">
        <v>0</v>
      </c>
      <c r="AU28">
        <f>AT28/100</f>
        <v>0</v>
      </c>
      <c r="AV28">
        <v>51790.068192823899</v>
      </c>
      <c r="AW28">
        <f>AV28/F28</f>
        <v>1.292631291963924</v>
      </c>
      <c r="AX28">
        <v>1.7190364999696599</v>
      </c>
      <c r="AY28" t="str">
        <f>IF(AL28=MIN(AL28,AQ28,AV28),"Simulated Annealing",IF(AQ28=MIN(AL28,AQ28,AV28),"Ant Colony Optimization","Genetic Algorithm"))</f>
        <v>Simulated Annealing</v>
      </c>
      <c r="AZ28">
        <f>MIN(AL28,AQ28,AV28)</f>
        <v>50412.978661906302</v>
      </c>
      <c r="BA28">
        <f>AZ28/F28</f>
        <v>1.2582604351256497</v>
      </c>
      <c r="BB28">
        <v>45675.986676772802</v>
      </c>
      <c r="BC28">
        <f>BB28/F28</f>
        <v>1.1400295796077899</v>
      </c>
      <c r="BD28">
        <v>0.112</v>
      </c>
      <c r="BE28">
        <v>5</v>
      </c>
      <c r="BF28">
        <v>5</v>
      </c>
    </row>
    <row r="29" spans="1:58" x14ac:dyDescent="0.3">
      <c r="A29">
        <v>14</v>
      </c>
      <c r="B29">
        <v>140</v>
      </c>
      <c r="C29">
        <v>0.62970947459343996</v>
      </c>
      <c r="D29">
        <v>3.5862453447043001</v>
      </c>
      <c r="E29">
        <f>SQRT(D29)</f>
        <v>1.8937384573124929</v>
      </c>
      <c r="F29">
        <v>39680.260862093703</v>
      </c>
      <c r="G29">
        <v>0.27426830003969299</v>
      </c>
      <c r="H29">
        <v>49839.029516821</v>
      </c>
      <c r="I29">
        <f>H29/F29</f>
        <v>1.2560156721255809</v>
      </c>
      <c r="J29">
        <v>8.1652500011841697E-2</v>
      </c>
      <c r="K29">
        <v>114853.49937106</v>
      </c>
      <c r="L29" t="s">
        <v>44</v>
      </c>
      <c r="M29">
        <v>1</v>
      </c>
      <c r="N29">
        <v>77</v>
      </c>
      <c r="O29">
        <f>(N29+1)/B29</f>
        <v>0.55714285714285716</v>
      </c>
      <c r="P29">
        <v>56423.213115753701</v>
      </c>
      <c r="Q29">
        <f>P29/F29</f>
        <v>1.4219466276154054</v>
      </c>
      <c r="R29">
        <v>0.27426830003969299</v>
      </c>
      <c r="S29">
        <v>100</v>
      </c>
      <c r="T29">
        <f>(S29+1)/B29</f>
        <v>0.72142857142857142</v>
      </c>
      <c r="U29">
        <v>54822.720334265097</v>
      </c>
      <c r="V29">
        <f>U29/F29</f>
        <v>1.3816118932483352</v>
      </c>
      <c r="W29">
        <v>7.3655099957250003E-2</v>
      </c>
      <c r="X29" t="str">
        <f>IF(H29=MIN(H29,P29,U29),"Christofides",IF(P29=MIN(H29,P29,U29),"Arithmetic Series","Nearest Neighbor"))</f>
        <v>Christofides</v>
      </c>
      <c r="Y29">
        <f>MIN(H29,P29,U29)</f>
        <v>49839.029516821</v>
      </c>
      <c r="Z29">
        <f>Y29/F29</f>
        <v>1.2560156721255809</v>
      </c>
      <c r="AA29">
        <v>4120</v>
      </c>
      <c r="AB29">
        <v>4168</v>
      </c>
      <c r="AC29">
        <f>AA29/AB29</f>
        <v>0.98848368522072938</v>
      </c>
      <c r="AD29">
        <v>0</v>
      </c>
      <c r="AE29">
        <v>49263.873494396299</v>
      </c>
      <c r="AF29">
        <v>189</v>
      </c>
      <c r="AG29">
        <f>AF29/AB29</f>
        <v>4.5345489443378122E-2</v>
      </c>
      <c r="AH29" s="1">
        <v>3.6379788070917097E-11</v>
      </c>
      <c r="AI29" s="4">
        <v>49256.859824814703</v>
      </c>
      <c r="AJ29" s="4">
        <v>541</v>
      </c>
      <c r="AK29" s="4">
        <f>AJ29/AB29</f>
        <v>0.12979846449136276</v>
      </c>
      <c r="AL29">
        <v>48784.098584503903</v>
      </c>
      <c r="AM29">
        <f>AL29/F29</f>
        <v>1.2294298859085133</v>
      </c>
      <c r="AN29">
        <v>0.24821050000900799</v>
      </c>
      <c r="AO29">
        <v>0</v>
      </c>
      <c r="AP29">
        <f>AO29/10</f>
        <v>0</v>
      </c>
      <c r="AQ29">
        <v>49839.029516821</v>
      </c>
      <c r="AR29">
        <f>AQ29/F29</f>
        <v>1.2560156721255809</v>
      </c>
      <c r="AS29">
        <v>3.3911866000125799</v>
      </c>
      <c r="AT29">
        <v>28</v>
      </c>
      <c r="AU29">
        <f>AT29/100</f>
        <v>0.28000000000000003</v>
      </c>
      <c r="AV29">
        <v>49685.8128281678</v>
      </c>
      <c r="AW29">
        <f>AV29/F29</f>
        <v>1.2521543898324605</v>
      </c>
      <c r="AX29">
        <v>1.91574430000036</v>
      </c>
      <c r="AY29" t="str">
        <f>IF(AL29=MIN(AL29,AQ29,AV29),"Simulated Annealing",IF(AQ29=MIN(AL29,AQ29,AV29),"Ant Colony Optimization","Genetic Algorithm"))</f>
        <v>Simulated Annealing</v>
      </c>
      <c r="AZ29">
        <f>MIN(AL29,AQ29,AV29)</f>
        <v>48784.098584503903</v>
      </c>
      <c r="BA29">
        <f>AZ29/F29</f>
        <v>1.2294298859085133</v>
      </c>
      <c r="BB29">
        <v>46176.423467492197</v>
      </c>
      <c r="BC29">
        <f>BB29/F29</f>
        <v>1.1637126990665587</v>
      </c>
      <c r="BD29">
        <v>9.6000000000000002E-2</v>
      </c>
      <c r="BE29">
        <v>5</v>
      </c>
      <c r="BF29">
        <v>5.0199999999999996</v>
      </c>
    </row>
    <row r="30" spans="1:58" x14ac:dyDescent="0.3">
      <c r="A30">
        <v>75</v>
      </c>
      <c r="B30">
        <v>145</v>
      </c>
      <c r="C30">
        <v>0.59174670053269496</v>
      </c>
      <c r="D30">
        <v>2.6163115555481</v>
      </c>
      <c r="E30">
        <f>SQRT(D30)</f>
        <v>1.6175016400449491</v>
      </c>
      <c r="F30">
        <v>40675.898652637901</v>
      </c>
      <c r="G30">
        <v>0.30265370005508802</v>
      </c>
      <c r="H30">
        <v>53114.708603471998</v>
      </c>
      <c r="I30">
        <f>H30/F30</f>
        <v>1.305802953662031</v>
      </c>
      <c r="J30">
        <v>9.5077999983914196E-2</v>
      </c>
      <c r="K30">
        <v>124299.90440021</v>
      </c>
      <c r="L30" t="s">
        <v>44</v>
      </c>
      <c r="M30">
        <v>0</v>
      </c>
      <c r="N30">
        <v>30</v>
      </c>
      <c r="O30">
        <f>(N30+1)/B30</f>
        <v>0.21379310344827587</v>
      </c>
      <c r="P30">
        <v>54458.848524445697</v>
      </c>
      <c r="Q30">
        <f>P30/F30</f>
        <v>1.3388480728971908</v>
      </c>
      <c r="R30">
        <v>0.30265370005508802</v>
      </c>
      <c r="S30">
        <v>84</v>
      </c>
      <c r="T30">
        <f>(S30+1)/B30</f>
        <v>0.58620689655172409</v>
      </c>
      <c r="U30">
        <v>50718.379518763897</v>
      </c>
      <c r="V30">
        <f>U30/F30</f>
        <v>1.2468902027681379</v>
      </c>
      <c r="W30">
        <v>7.9975100001320201E-2</v>
      </c>
      <c r="X30" t="str">
        <f>IF(H30=MIN(H30,P30,U30),"Christofides",IF(P30=MIN(H30,P30,U30),"Arithmetic Series","Nearest Neighbor"))</f>
        <v>Nearest Neighbor</v>
      </c>
      <c r="Y30">
        <f>MIN(H30,P30,U30)</f>
        <v>50718.379518763897</v>
      </c>
      <c r="Z30">
        <f>Y30/F30</f>
        <v>1.2468902027681379</v>
      </c>
      <c r="AA30">
        <v>3078</v>
      </c>
      <c r="AB30">
        <v>4172</v>
      </c>
      <c r="AC30">
        <f>AA30/AB30</f>
        <v>0.73777564717162036</v>
      </c>
      <c r="AD30">
        <v>0</v>
      </c>
      <c r="AE30">
        <v>50718.379518763897</v>
      </c>
      <c r="AF30">
        <v>370</v>
      </c>
      <c r="AG30">
        <f>AF30/AB30</f>
        <v>8.8686481303930975E-2</v>
      </c>
      <c r="AH30" s="1">
        <v>2.18278728425502E-11</v>
      </c>
      <c r="AI30" s="4">
        <v>50299.1750992952</v>
      </c>
      <c r="AJ30" s="4">
        <v>1359</v>
      </c>
      <c r="AK30" s="4">
        <f>AJ30/AB30</f>
        <v>0.32574304889741129</v>
      </c>
      <c r="AL30">
        <v>49385.946571670902</v>
      </c>
      <c r="AM30">
        <f>AL30/F30</f>
        <v>1.2141328946021488</v>
      </c>
      <c r="AN30">
        <v>0.25335999997332598</v>
      </c>
      <c r="AO30">
        <v>7</v>
      </c>
      <c r="AP30">
        <f>AO30/10</f>
        <v>0.7</v>
      </c>
      <c r="AQ30">
        <v>47982.530063782098</v>
      </c>
      <c r="AR30">
        <f>AQ30/F30</f>
        <v>1.1796304852055273</v>
      </c>
      <c r="AS30">
        <v>3.61989079997874</v>
      </c>
      <c r="AT30">
        <v>91</v>
      </c>
      <c r="AU30">
        <f>AT30/100</f>
        <v>0.91</v>
      </c>
      <c r="AV30">
        <v>50661.7764753433</v>
      </c>
      <c r="AW30">
        <f>AV30/F30</f>
        <v>1.245498640558192</v>
      </c>
      <c r="AX30">
        <v>2.0205875000101501</v>
      </c>
      <c r="AY30" t="str">
        <f>IF(AL30=MIN(AL30,AQ30,AV30),"Simulated Annealing",IF(AQ30=MIN(AL30,AQ30,AV30),"Ant Colony Optimization","Genetic Algorithm"))</f>
        <v>Ant Colony Optimization</v>
      </c>
      <c r="AZ30">
        <f>MIN(AL30,AQ30,AV30)</f>
        <v>47982.530063782098</v>
      </c>
      <c r="BA30">
        <f>AZ30/F30</f>
        <v>1.1796304852055273</v>
      </c>
      <c r="BB30">
        <v>46539.380391967497</v>
      </c>
      <c r="BC30">
        <f>BB30/F30</f>
        <v>1.1441512525488933</v>
      </c>
      <c r="BD30">
        <v>0.112</v>
      </c>
      <c r="BE30">
        <v>5</v>
      </c>
      <c r="BF30">
        <v>5.0460000000000003</v>
      </c>
    </row>
    <row r="31" spans="1:58" x14ac:dyDescent="0.3">
      <c r="A31">
        <v>15</v>
      </c>
      <c r="B31">
        <v>150</v>
      </c>
      <c r="C31">
        <v>0.58462430372760799</v>
      </c>
      <c r="D31">
        <v>3.7408936245190598</v>
      </c>
      <c r="E31">
        <f>SQRT(D31)</f>
        <v>1.9341389879010917</v>
      </c>
      <c r="F31">
        <v>41842.281747237503</v>
      </c>
      <c r="G31">
        <v>0.34099320007953698</v>
      </c>
      <c r="H31">
        <v>52787.657973311398</v>
      </c>
      <c r="I31">
        <f>H31/F31</f>
        <v>1.2615865045838837</v>
      </c>
      <c r="J31">
        <v>9.9534799999673795E-2</v>
      </c>
      <c r="K31">
        <v>134143.994387215</v>
      </c>
      <c r="L31" t="s">
        <v>44</v>
      </c>
      <c r="M31">
        <v>0</v>
      </c>
      <c r="N31">
        <v>143</v>
      </c>
      <c r="O31">
        <f>(N31+1)/B31</f>
        <v>0.96</v>
      </c>
      <c r="P31">
        <v>59891.022361878597</v>
      </c>
      <c r="Q31">
        <f>P31/F31</f>
        <v>1.4313517299001675</v>
      </c>
      <c r="R31">
        <v>0.34099320007953698</v>
      </c>
      <c r="S31">
        <v>108</v>
      </c>
      <c r="T31">
        <f>(S31+1)/B31</f>
        <v>0.72666666666666668</v>
      </c>
      <c r="U31">
        <v>55788.332769741697</v>
      </c>
      <c r="V31">
        <f>U31/F31</f>
        <v>1.3333004425224715</v>
      </c>
      <c r="W31">
        <v>8.8688199990428901E-2</v>
      </c>
      <c r="X31" t="str">
        <f>IF(H31=MIN(H31,P31,U31),"Christofides",IF(P31=MIN(H31,P31,U31),"Arithmetic Series","Nearest Neighbor"))</f>
        <v>Christofides</v>
      </c>
      <c r="Y31">
        <f>MIN(H31,P31,U31)</f>
        <v>52787.657973311398</v>
      </c>
      <c r="Z31">
        <f>Y31/F31</f>
        <v>1.2615865045838837</v>
      </c>
      <c r="AA31">
        <v>3815</v>
      </c>
      <c r="AB31">
        <v>4175</v>
      </c>
      <c r="AC31">
        <f>AA31/AB31</f>
        <v>0.91377245508982041</v>
      </c>
      <c r="AD31">
        <v>0</v>
      </c>
      <c r="AE31">
        <v>52787.657973311398</v>
      </c>
      <c r="AF31">
        <v>158</v>
      </c>
      <c r="AG31">
        <f>AF31/AB31</f>
        <v>3.7844311377245511E-2</v>
      </c>
      <c r="AH31" s="1">
        <v>3.6379788070917097E-11</v>
      </c>
      <c r="AI31" s="4">
        <v>52528.888780542104</v>
      </c>
      <c r="AJ31" s="4">
        <v>1907</v>
      </c>
      <c r="AK31" s="4">
        <f>AJ31/AB31</f>
        <v>0.45676646706586826</v>
      </c>
      <c r="AL31">
        <v>52221.314114651999</v>
      </c>
      <c r="AM31">
        <f>AL31/F31</f>
        <v>1.2480512996426094</v>
      </c>
      <c r="AN31">
        <v>0.27314809999370399</v>
      </c>
      <c r="AO31">
        <v>0</v>
      </c>
      <c r="AP31">
        <f>AO31/10</f>
        <v>0</v>
      </c>
      <c r="AQ31">
        <v>52787.657973311398</v>
      </c>
      <c r="AR31">
        <f>AQ31/F31</f>
        <v>1.2615865045838837</v>
      </c>
      <c r="AS31">
        <v>3.9518233999988199</v>
      </c>
      <c r="AT31">
        <v>0</v>
      </c>
      <c r="AU31">
        <f>AT31/100</f>
        <v>0</v>
      </c>
      <c r="AV31">
        <v>52787.657973311398</v>
      </c>
      <c r="AW31">
        <f>AV31/F31</f>
        <v>1.2615865045838837</v>
      </c>
      <c r="AX31">
        <v>2.2603384999965699</v>
      </c>
      <c r="AY31" t="str">
        <f>IF(AL31=MIN(AL31,AQ31,AV31),"Simulated Annealing",IF(AQ31=MIN(AL31,AQ31,AV31),"Ant Colony Optimization","Genetic Algorithm"))</f>
        <v>Simulated Annealing</v>
      </c>
      <c r="AZ31">
        <f>MIN(AL31,AQ31,AV31)</f>
        <v>52221.314114651999</v>
      </c>
      <c r="BA31">
        <f>AZ31/F31</f>
        <v>1.2480512996426094</v>
      </c>
      <c r="BB31">
        <v>47811.173923829199</v>
      </c>
      <c r="BC31">
        <f>BB31/F31</f>
        <v>1.1426521673136474</v>
      </c>
      <c r="BD31">
        <v>0.112</v>
      </c>
      <c r="BE31">
        <v>5</v>
      </c>
      <c r="BF31">
        <v>5.0720000000000001</v>
      </c>
    </row>
    <row r="32" spans="1:58" x14ac:dyDescent="0.3">
      <c r="A32">
        <v>76</v>
      </c>
      <c r="B32">
        <v>155</v>
      </c>
      <c r="C32">
        <v>0.54313895563965497</v>
      </c>
      <c r="D32">
        <v>4.8506451681629299</v>
      </c>
      <c r="E32">
        <f>SQRT(D32)</f>
        <v>2.2024180275694554</v>
      </c>
      <c r="F32">
        <v>42820.0563528891</v>
      </c>
      <c r="G32">
        <v>0.35167619999265298</v>
      </c>
      <c r="H32">
        <v>55451.5130005709</v>
      </c>
      <c r="I32">
        <f>H32/F32</f>
        <v>1.2949892579211786</v>
      </c>
      <c r="J32">
        <v>0.115842400002293</v>
      </c>
      <c r="K32">
        <v>144402.971384387</v>
      </c>
      <c r="L32" t="s">
        <v>44</v>
      </c>
      <c r="M32">
        <v>0</v>
      </c>
      <c r="N32">
        <v>17</v>
      </c>
      <c r="O32">
        <f>(N32+1)/B32</f>
        <v>0.11612903225806452</v>
      </c>
      <c r="P32">
        <v>59036.184195154798</v>
      </c>
      <c r="Q32">
        <f>P32/F32</f>
        <v>1.3787040285193737</v>
      </c>
      <c r="R32">
        <v>0.35167619999265298</v>
      </c>
      <c r="S32">
        <v>117</v>
      </c>
      <c r="T32">
        <f>(S32+1)/B32</f>
        <v>0.76129032258064511</v>
      </c>
      <c r="U32">
        <v>55001.8630407526</v>
      </c>
      <c r="V32">
        <f>U32/F32</f>
        <v>1.2844883385362846</v>
      </c>
      <c r="W32">
        <v>9.6793900011107298E-2</v>
      </c>
      <c r="X32" t="str">
        <f>IF(H32=MIN(H32,P32,U32),"Christofides",IF(P32=MIN(H32,P32,U32),"Arithmetic Series","Nearest Neighbor"))</f>
        <v>Nearest Neighbor</v>
      </c>
      <c r="Y32">
        <f>MIN(H32,P32,U32)</f>
        <v>55001.8630407526</v>
      </c>
      <c r="Z32">
        <f>Y32/F32</f>
        <v>1.2844883385362846</v>
      </c>
      <c r="AA32">
        <v>3128</v>
      </c>
      <c r="AB32">
        <v>4178</v>
      </c>
      <c r="AC32">
        <f>AA32/AB32</f>
        <v>0.74868358066060314</v>
      </c>
      <c r="AD32">
        <v>0</v>
      </c>
      <c r="AE32">
        <v>54279.493314276697</v>
      </c>
      <c r="AF32">
        <v>311</v>
      </c>
      <c r="AG32">
        <f>AF32/AB32</f>
        <v>7.4437529918621348E-2</v>
      </c>
      <c r="AH32" s="1">
        <v>4.3655745685100497E-11</v>
      </c>
      <c r="AI32" s="4">
        <v>52949.637944226699</v>
      </c>
      <c r="AJ32" s="4">
        <v>2390</v>
      </c>
      <c r="AK32" s="4">
        <f>AJ32/AB32</f>
        <v>0.57204404021062705</v>
      </c>
      <c r="AL32">
        <v>52494.731529076998</v>
      </c>
      <c r="AM32">
        <f>AL32/F32</f>
        <v>1.2259379365701171</v>
      </c>
      <c r="AN32">
        <v>0.26608219998888599</v>
      </c>
      <c r="AO32">
        <v>7</v>
      </c>
      <c r="AP32">
        <f>AO32/10</f>
        <v>0.7</v>
      </c>
      <c r="AQ32">
        <v>54229.225129897597</v>
      </c>
      <c r="AR32">
        <f>AQ32/F32</f>
        <v>1.266444506354292</v>
      </c>
      <c r="AS32">
        <v>4.2074967999942601</v>
      </c>
      <c r="AT32">
        <v>49</v>
      </c>
      <c r="AU32">
        <f>AT32/100</f>
        <v>0.49</v>
      </c>
      <c r="AV32">
        <v>54929.346107386198</v>
      </c>
      <c r="AW32">
        <f>AV32/F32</f>
        <v>1.2827948112609169</v>
      </c>
      <c r="AX32">
        <v>2.4669226999976601</v>
      </c>
      <c r="AY32" t="str">
        <f>IF(AL32=MIN(AL32,AQ32,AV32),"Simulated Annealing",IF(AQ32=MIN(AL32,AQ32,AV32),"Ant Colony Optimization","Genetic Algorithm"))</f>
        <v>Simulated Annealing</v>
      </c>
      <c r="AZ32">
        <f>MIN(AL32,AQ32,AV32)</f>
        <v>52494.731529076998</v>
      </c>
      <c r="BA32">
        <f>AZ32/F32</f>
        <v>1.2259379365701171</v>
      </c>
      <c r="BB32">
        <v>48167.253226905901</v>
      </c>
      <c r="BC32">
        <f>BB32/F32</f>
        <v>1.12487598871775</v>
      </c>
      <c r="BD32">
        <v>0.112</v>
      </c>
      <c r="BE32">
        <v>5</v>
      </c>
      <c r="BF32">
        <v>5</v>
      </c>
    </row>
    <row r="33" spans="1:58" x14ac:dyDescent="0.3">
      <c r="A33">
        <v>16</v>
      </c>
      <c r="B33">
        <v>160</v>
      </c>
      <c r="C33">
        <v>0.49216574748108299</v>
      </c>
      <c r="D33">
        <v>3.07476787916747</v>
      </c>
      <c r="E33">
        <f>SQRT(D33)</f>
        <v>1.7535016051225816</v>
      </c>
      <c r="F33">
        <v>41314.177969677898</v>
      </c>
      <c r="G33">
        <v>0.39447240007575601</v>
      </c>
      <c r="H33">
        <v>52665.745897256602</v>
      </c>
      <c r="I33">
        <f>H33/F33</f>
        <v>1.2747620426070214</v>
      </c>
      <c r="J33">
        <v>0.11311730000306799</v>
      </c>
      <c r="K33">
        <v>155064.59235201799</v>
      </c>
      <c r="L33" t="s">
        <v>44</v>
      </c>
      <c r="M33">
        <v>0</v>
      </c>
      <c r="N33">
        <v>22</v>
      </c>
      <c r="O33">
        <f>(N33+1)/B33</f>
        <v>0.14374999999999999</v>
      </c>
      <c r="P33">
        <v>55537.674349645698</v>
      </c>
      <c r="Q33">
        <f>P33/F33</f>
        <v>1.3442763980541252</v>
      </c>
      <c r="R33">
        <v>0.39447240007575601</v>
      </c>
      <c r="S33">
        <v>29</v>
      </c>
      <c r="T33">
        <f>(S33+1)/B33</f>
        <v>0.1875</v>
      </c>
      <c r="U33">
        <v>51825.776300969897</v>
      </c>
      <c r="V33">
        <f>U33/F33</f>
        <v>1.2544307752899471</v>
      </c>
      <c r="W33">
        <v>0.113550000009126</v>
      </c>
      <c r="X33" t="str">
        <f>IF(H33=MIN(H33,P33,U33),"Christofides",IF(P33=MIN(H33,P33,U33),"Arithmetic Series","Nearest Neighbor"))</f>
        <v>Nearest Neighbor</v>
      </c>
      <c r="Y33">
        <f>MIN(H33,P33,U33)</f>
        <v>51825.776300969897</v>
      </c>
      <c r="Z33">
        <f>Y33/F33</f>
        <v>1.2544307752899471</v>
      </c>
      <c r="AA33">
        <v>3921</v>
      </c>
      <c r="AB33">
        <v>4182</v>
      </c>
      <c r="AC33">
        <f>AA33/AB33</f>
        <v>0.93758967001434723</v>
      </c>
      <c r="AD33">
        <v>0</v>
      </c>
      <c r="AE33">
        <v>51705.304340930001</v>
      </c>
      <c r="AF33">
        <v>129</v>
      </c>
      <c r="AG33">
        <f>AF33/AB33</f>
        <v>3.0846484935437589E-2</v>
      </c>
      <c r="AH33" s="1">
        <v>2.91038304567337E-11</v>
      </c>
      <c r="AI33" s="4">
        <v>51705.304340930001</v>
      </c>
      <c r="AJ33" s="4">
        <v>129</v>
      </c>
      <c r="AK33" s="4">
        <f>AJ33/AB33</f>
        <v>3.0846484935437589E-2</v>
      </c>
      <c r="AL33">
        <v>50399.2688191337</v>
      </c>
      <c r="AM33">
        <f>AL33/F33</f>
        <v>1.2199024958483673</v>
      </c>
      <c r="AN33">
        <v>0.28183259999786903</v>
      </c>
      <c r="AO33">
        <v>0</v>
      </c>
      <c r="AP33">
        <f>AO33/10</f>
        <v>0</v>
      </c>
      <c r="AQ33">
        <v>51825.776300969897</v>
      </c>
      <c r="AR33">
        <f>AQ33/F33</f>
        <v>1.2544307752899471</v>
      </c>
      <c r="AS33">
        <v>4.6347234999993798</v>
      </c>
      <c r="AT33">
        <v>58</v>
      </c>
      <c r="AU33">
        <f>AT33/100</f>
        <v>0.57999999999999996</v>
      </c>
      <c r="AV33">
        <v>51687.511282612599</v>
      </c>
      <c r="AW33">
        <f>AV33/F33</f>
        <v>1.2510841029088875</v>
      </c>
      <c r="AX33">
        <v>2.7264736000070098</v>
      </c>
      <c r="AY33" t="str">
        <f>IF(AL33=MIN(AL33,AQ33,AV33),"Simulated Annealing",IF(AQ33=MIN(AL33,AQ33,AV33),"Ant Colony Optimization","Genetic Algorithm"))</f>
        <v>Simulated Annealing</v>
      </c>
      <c r="AZ33">
        <f>MIN(AL33,AQ33,AV33)</f>
        <v>50399.2688191337</v>
      </c>
      <c r="BA33">
        <f>AZ33/F33</f>
        <v>1.2199024958483673</v>
      </c>
      <c r="BB33">
        <v>47594.449777359398</v>
      </c>
      <c r="BC33">
        <f>BB33/F33</f>
        <v>1.1520125079649615</v>
      </c>
      <c r="BD33">
        <v>9.6000000000000002E-2</v>
      </c>
      <c r="BE33">
        <v>5</v>
      </c>
      <c r="BF33">
        <v>5</v>
      </c>
    </row>
    <row r="34" spans="1:58" x14ac:dyDescent="0.3">
      <c r="A34">
        <v>77</v>
      </c>
      <c r="B34">
        <v>165</v>
      </c>
      <c r="C34">
        <v>0.47036747596106099</v>
      </c>
      <c r="D34">
        <v>4.3514990559055597</v>
      </c>
      <c r="E34">
        <f>SQRT(D34)</f>
        <v>2.0860247016527778</v>
      </c>
      <c r="F34">
        <v>42748.314440249902</v>
      </c>
      <c r="G34">
        <v>0.43493940000189402</v>
      </c>
      <c r="H34">
        <v>54631.9486053617</v>
      </c>
      <c r="I34">
        <f>H34/F34</f>
        <v>1.2779907072528385</v>
      </c>
      <c r="J34">
        <v>0.126775300013832</v>
      </c>
      <c r="K34">
        <v>166137.20358926599</v>
      </c>
      <c r="L34" t="s">
        <v>44</v>
      </c>
      <c r="M34">
        <v>1</v>
      </c>
      <c r="N34">
        <v>100</v>
      </c>
      <c r="O34">
        <f>(N34+1)/B34</f>
        <v>0.61212121212121207</v>
      </c>
      <c r="P34">
        <v>61296.204237854901</v>
      </c>
      <c r="Q34">
        <f>P34/F34</f>
        <v>1.433885874577107</v>
      </c>
      <c r="R34">
        <v>0.43493940000189402</v>
      </c>
      <c r="S34">
        <v>90</v>
      </c>
      <c r="T34">
        <f>(S34+1)/B34</f>
        <v>0.55151515151515151</v>
      </c>
      <c r="U34">
        <v>56901.685793215198</v>
      </c>
      <c r="V34">
        <f>U34/F34</f>
        <v>1.3310860682646966</v>
      </c>
      <c r="W34">
        <v>0.122707500006072</v>
      </c>
      <c r="X34" t="str">
        <f>IF(H34=MIN(H34,P34,U34),"Christofides",IF(P34=MIN(H34,P34,U34),"Arithmetic Series","Nearest Neighbor"))</f>
        <v>Christofides</v>
      </c>
      <c r="Y34">
        <f>MIN(H34,P34,U34)</f>
        <v>54631.9486053617</v>
      </c>
      <c r="Z34">
        <f>Y34/F34</f>
        <v>1.2779907072528385</v>
      </c>
      <c r="AA34">
        <v>3925</v>
      </c>
      <c r="AB34">
        <v>4185</v>
      </c>
      <c r="AC34">
        <f>AA34/AB34</f>
        <v>0.93787335722819598</v>
      </c>
      <c r="AD34">
        <v>0</v>
      </c>
      <c r="AE34">
        <v>54614.8086592564</v>
      </c>
      <c r="AF34">
        <v>94</v>
      </c>
      <c r="AG34">
        <f>AF34/AB34</f>
        <v>2.2461170848267622E-2</v>
      </c>
      <c r="AH34">
        <v>0.94438901910325501</v>
      </c>
      <c r="AI34" s="4">
        <v>54614.8086592564</v>
      </c>
      <c r="AJ34" s="4">
        <v>94</v>
      </c>
      <c r="AK34" s="4">
        <f>AJ34/AB34</f>
        <v>2.2461170848267622E-2</v>
      </c>
      <c r="AL34">
        <v>53401.160091081598</v>
      </c>
      <c r="AM34">
        <f>AL34/F34</f>
        <v>1.2491991974495595</v>
      </c>
      <c r="AN34">
        <v>0.29353050002828202</v>
      </c>
      <c r="AO34">
        <v>8</v>
      </c>
      <c r="AP34">
        <f>AO34/10</f>
        <v>0.8</v>
      </c>
      <c r="AQ34">
        <v>53893.078864920899</v>
      </c>
      <c r="AR34">
        <f>AQ34/F34</f>
        <v>1.2607065230664998</v>
      </c>
      <c r="AS34">
        <v>4.7373360000201501</v>
      </c>
      <c r="AT34">
        <v>30</v>
      </c>
      <c r="AU34">
        <f>AT34/100</f>
        <v>0.3</v>
      </c>
      <c r="AV34">
        <v>54559.100922824997</v>
      </c>
      <c r="AW34">
        <f>AV34/F34</f>
        <v>1.2762866007052336</v>
      </c>
      <c r="AX34">
        <v>2.7616592000122102</v>
      </c>
      <c r="AY34" t="str">
        <f>IF(AL34=MIN(AL34,AQ34,AV34),"Simulated Annealing",IF(AQ34=MIN(AL34,AQ34,AV34),"Ant Colony Optimization","Genetic Algorithm"))</f>
        <v>Simulated Annealing</v>
      </c>
      <c r="AZ34">
        <f>MIN(AL34,AQ34,AV34)</f>
        <v>53401.160091081598</v>
      </c>
      <c r="BA34">
        <f>AZ34/F34</f>
        <v>1.2491991974495595</v>
      </c>
      <c r="BB34">
        <v>49133.647523612599</v>
      </c>
      <c r="BC34">
        <f>BB34/F34</f>
        <v>1.1493704059908045</v>
      </c>
      <c r="BD34">
        <v>0.112</v>
      </c>
      <c r="BE34">
        <v>5</v>
      </c>
      <c r="BF34">
        <v>5</v>
      </c>
    </row>
    <row r="35" spans="1:58" x14ac:dyDescent="0.3">
      <c r="A35">
        <v>17</v>
      </c>
      <c r="B35">
        <v>170</v>
      </c>
      <c r="C35">
        <v>0.46550187373900198</v>
      </c>
      <c r="D35">
        <v>9.2718918988582608</v>
      </c>
      <c r="E35">
        <f>SQRT(D35)</f>
        <v>3.0449781442332653</v>
      </c>
      <c r="F35">
        <v>45590.742475695799</v>
      </c>
      <c r="G35">
        <v>0.46951760002411902</v>
      </c>
      <c r="H35">
        <v>56740.362519460898</v>
      </c>
      <c r="I35">
        <f>H35/F35</f>
        <v>1.2445588608193627</v>
      </c>
      <c r="J35">
        <v>0.12966320000123199</v>
      </c>
      <c r="K35">
        <v>177644.290287243</v>
      </c>
      <c r="L35" t="s">
        <v>44</v>
      </c>
      <c r="M35" t="s">
        <v>37</v>
      </c>
      <c r="N35">
        <v>151</v>
      </c>
      <c r="O35">
        <f>(N35+1)/B35</f>
        <v>0.89411764705882357</v>
      </c>
      <c r="P35">
        <v>62367.7000913718</v>
      </c>
      <c r="Q35">
        <f>P35/F35</f>
        <v>1.3679904450913409</v>
      </c>
      <c r="R35">
        <v>0.46951760002411902</v>
      </c>
      <c r="S35">
        <v>148</v>
      </c>
      <c r="T35">
        <f>(S35+1)/B35</f>
        <v>0.87647058823529411</v>
      </c>
      <c r="U35">
        <v>59205.802897707901</v>
      </c>
      <c r="V35">
        <f>U35/F35</f>
        <v>1.2986365144035596</v>
      </c>
      <c r="W35">
        <v>0.13580759998876599</v>
      </c>
      <c r="X35" t="str">
        <f>IF(H35=MIN(H35,P35,U35),"Christofides",IF(P35=MIN(H35,P35,U35),"Arithmetic Series","Nearest Neighbor"))</f>
        <v>Christofides</v>
      </c>
      <c r="Y35">
        <f>MIN(H35,P35,U35)</f>
        <v>56740.362519460898</v>
      </c>
      <c r="Z35">
        <f>Y35/F35</f>
        <v>1.2445588608193627</v>
      </c>
      <c r="AA35">
        <v>3563</v>
      </c>
      <c r="AB35">
        <v>4188</v>
      </c>
      <c r="AC35">
        <f>AA35/AB35</f>
        <v>0.85076408787010505</v>
      </c>
      <c r="AD35">
        <v>0</v>
      </c>
      <c r="AE35">
        <v>56740.362519460898</v>
      </c>
      <c r="AF35">
        <v>167</v>
      </c>
      <c r="AG35">
        <f>AF35/AB35</f>
        <v>3.9875835721107929E-2</v>
      </c>
      <c r="AH35" s="1">
        <v>4.3655745685100497E-11</v>
      </c>
      <c r="AI35" s="4">
        <v>56723.844992744402</v>
      </c>
      <c r="AJ35" s="4">
        <v>1218</v>
      </c>
      <c r="AK35" s="4">
        <f>AJ35/AB35</f>
        <v>0.29083094555873923</v>
      </c>
      <c r="AL35">
        <v>55984.169763482598</v>
      </c>
      <c r="AM35">
        <f>AL35/F35</f>
        <v>1.2279723190147096</v>
      </c>
      <c r="AN35">
        <v>0.31857780000427699</v>
      </c>
      <c r="AO35">
        <v>0</v>
      </c>
      <c r="AP35">
        <f>AO35/10</f>
        <v>0</v>
      </c>
      <c r="AQ35">
        <v>56740.362519460898</v>
      </c>
      <c r="AR35">
        <f>AQ35/F35</f>
        <v>1.2445588608193627</v>
      </c>
      <c r="AS35">
        <v>5.3773783000069599</v>
      </c>
      <c r="AT35">
        <v>40</v>
      </c>
      <c r="AU35">
        <f>AT35/100</f>
        <v>0.4</v>
      </c>
      <c r="AV35">
        <v>56673.106972676498</v>
      </c>
      <c r="AW35">
        <f>AV35/F35</f>
        <v>1.2430836589881959</v>
      </c>
      <c r="AX35">
        <v>3.76679989999684</v>
      </c>
      <c r="AY35" t="str">
        <f>IF(AL35=MIN(AL35,AQ35,AV35),"Simulated Annealing",IF(AQ35=MIN(AL35,AQ35,AV35),"Ant Colony Optimization","Genetic Algorithm"))</f>
        <v>Simulated Annealing</v>
      </c>
      <c r="AZ35">
        <f>MIN(AL35,AQ35,AV35)</f>
        <v>55984.169763482598</v>
      </c>
      <c r="BA35">
        <f>AZ35/F35</f>
        <v>1.2279723190147096</v>
      </c>
      <c r="BB35">
        <v>52233.762512800298</v>
      </c>
      <c r="BC35">
        <f>BB35/F35</f>
        <v>1.1457098453846384</v>
      </c>
      <c r="BD35">
        <v>9.6000000000000002E-2</v>
      </c>
      <c r="BE35">
        <v>5</v>
      </c>
      <c r="BF35">
        <v>5.0129999999999999</v>
      </c>
    </row>
    <row r="36" spans="1:58" x14ac:dyDescent="0.3">
      <c r="A36">
        <v>78</v>
      </c>
      <c r="B36">
        <v>175</v>
      </c>
      <c r="C36">
        <v>0.43762088505951002</v>
      </c>
      <c r="D36">
        <v>5.6234391529922698</v>
      </c>
      <c r="E36">
        <f>SQRT(D36)</f>
        <v>2.3713791668546533</v>
      </c>
      <c r="F36">
        <v>45979.482825643499</v>
      </c>
      <c r="G36">
        <v>0.486590299988165</v>
      </c>
      <c r="H36">
        <v>59506.841778590097</v>
      </c>
      <c r="I36">
        <f>H36/F36</f>
        <v>1.294204243319635</v>
      </c>
      <c r="J36">
        <v>0.14440859999740399</v>
      </c>
      <c r="K36">
        <v>189557.86390659999</v>
      </c>
      <c r="L36" t="s">
        <v>44</v>
      </c>
      <c r="M36">
        <v>0</v>
      </c>
      <c r="N36">
        <v>26</v>
      </c>
      <c r="O36">
        <f>(N36+1)/B36</f>
        <v>0.15428571428571428</v>
      </c>
      <c r="P36">
        <v>65933.655582186198</v>
      </c>
      <c r="Q36">
        <f>P36/F36</f>
        <v>1.4339799304009122</v>
      </c>
      <c r="R36">
        <v>0.486590299988165</v>
      </c>
      <c r="S36">
        <v>146</v>
      </c>
      <c r="T36">
        <f>(S36+1)/B36</f>
        <v>0.84</v>
      </c>
      <c r="U36">
        <v>59665.356648714202</v>
      </c>
      <c r="V36">
        <f>U36/F36</f>
        <v>1.2976517564359786</v>
      </c>
      <c r="W36">
        <v>0.141164600034244</v>
      </c>
      <c r="X36" t="str">
        <f>IF(H36=MIN(H36,P36,U36),"Christofides",IF(P36=MIN(H36,P36,U36),"Arithmetic Series","Nearest Neighbor"))</f>
        <v>Christofides</v>
      </c>
      <c r="Y36">
        <f>MIN(H36,P36,U36)</f>
        <v>59506.841778590097</v>
      </c>
      <c r="Z36">
        <f>Y36/F36</f>
        <v>1.294204243319635</v>
      </c>
      <c r="AA36">
        <v>4174</v>
      </c>
      <c r="AB36">
        <v>4191</v>
      </c>
      <c r="AC36">
        <f>AA36/AB36</f>
        <v>0.99594368885707474</v>
      </c>
      <c r="AD36">
        <v>0</v>
      </c>
      <c r="AE36">
        <v>59515.680008167401</v>
      </c>
      <c r="AF36">
        <v>18</v>
      </c>
      <c r="AG36">
        <f>AF36/AB36</f>
        <v>4.2949176807444527E-3</v>
      </c>
      <c r="AH36">
        <v>8.8382295772244106</v>
      </c>
      <c r="AI36" s="4">
        <v>59515.680008167401</v>
      </c>
      <c r="AJ36" s="4">
        <v>18</v>
      </c>
      <c r="AK36" s="4">
        <f>AJ36/AB36</f>
        <v>4.2949176807444527E-3</v>
      </c>
      <c r="AL36">
        <v>58518.384634175898</v>
      </c>
      <c r="AM36">
        <f>AL36/F36</f>
        <v>1.2727064559660348</v>
      </c>
      <c r="AN36">
        <v>0.31334360002074302</v>
      </c>
      <c r="AO36">
        <v>2</v>
      </c>
      <c r="AP36">
        <f>AO36/10</f>
        <v>0.2</v>
      </c>
      <c r="AQ36">
        <v>58608.586316111403</v>
      </c>
      <c r="AR36">
        <f>AQ36/F36</f>
        <v>1.2746682370995361</v>
      </c>
      <c r="AS36">
        <v>5.7494907999644003</v>
      </c>
      <c r="AT36">
        <v>15</v>
      </c>
      <c r="AU36">
        <f>AT36/100</f>
        <v>0.15</v>
      </c>
      <c r="AV36">
        <v>59499.605677472297</v>
      </c>
      <c r="AW36">
        <f>AV36/F36</f>
        <v>1.2940468665795519</v>
      </c>
      <c r="AX36">
        <v>3.4653067000326701</v>
      </c>
      <c r="AY36" t="str">
        <f>IF(AL36=MIN(AL36,AQ36,AV36),"Simulated Annealing",IF(AQ36=MIN(AL36,AQ36,AV36),"Ant Colony Optimization","Genetic Algorithm"))</f>
        <v>Simulated Annealing</v>
      </c>
      <c r="AZ36">
        <f>MIN(AL36,AQ36,AV36)</f>
        <v>58518.384634175898</v>
      </c>
      <c r="BA36">
        <f>AZ36/F36</f>
        <v>1.2727064559660348</v>
      </c>
      <c r="BB36">
        <v>53502.954619930599</v>
      </c>
      <c r="BC36">
        <f>BB36/F36</f>
        <v>1.1636267163512144</v>
      </c>
      <c r="BD36">
        <v>0.112</v>
      </c>
      <c r="BE36">
        <v>5</v>
      </c>
      <c r="BF36">
        <v>5</v>
      </c>
    </row>
    <row r="37" spans="1:58" x14ac:dyDescent="0.3">
      <c r="A37">
        <v>18</v>
      </c>
      <c r="B37">
        <v>180</v>
      </c>
      <c r="C37">
        <v>0.39904816727606102</v>
      </c>
      <c r="D37">
        <v>4.8138399023333696</v>
      </c>
      <c r="E37">
        <f>SQRT(D37)</f>
        <v>2.1940464676786973</v>
      </c>
      <c r="F37">
        <v>45369.380908202897</v>
      </c>
      <c r="G37">
        <v>0.578294900013133</v>
      </c>
      <c r="H37">
        <v>58225.645211700903</v>
      </c>
      <c r="I37">
        <f>H37/F37</f>
        <v>1.2833687400211706</v>
      </c>
      <c r="J37">
        <v>0.145219600002747</v>
      </c>
      <c r="K37">
        <v>201893.84696825899</v>
      </c>
      <c r="L37" t="s">
        <v>44</v>
      </c>
      <c r="M37" t="s">
        <v>37</v>
      </c>
      <c r="N37">
        <v>46</v>
      </c>
      <c r="O37">
        <f>(N37+1)/B37</f>
        <v>0.26111111111111113</v>
      </c>
      <c r="P37">
        <v>61784.228916563399</v>
      </c>
      <c r="Q37">
        <f>P37/F37</f>
        <v>1.3618045404140098</v>
      </c>
      <c r="R37">
        <v>0.578294900013133</v>
      </c>
      <c r="S37">
        <v>157</v>
      </c>
      <c r="T37">
        <f>(S37+1)/B37</f>
        <v>0.87777777777777777</v>
      </c>
      <c r="U37">
        <v>58434.4743183014</v>
      </c>
      <c r="V37">
        <f>U37/F37</f>
        <v>1.2879716043852012</v>
      </c>
      <c r="W37">
        <v>0.163875699974596</v>
      </c>
      <c r="X37" t="str">
        <f>IF(H37=MIN(H37,P37,U37),"Christofides",IF(P37=MIN(H37,P37,U37),"Arithmetic Series","Nearest Neighbor"))</f>
        <v>Christofides</v>
      </c>
      <c r="Y37">
        <f>MIN(H37,P37,U37)</f>
        <v>58225.645211700903</v>
      </c>
      <c r="Z37">
        <f>Y37/F37</f>
        <v>1.2833687400211706</v>
      </c>
      <c r="AA37">
        <v>4118</v>
      </c>
      <c r="AB37">
        <v>4193</v>
      </c>
      <c r="AC37">
        <f>AA37/AB37</f>
        <v>0.98211304555211065</v>
      </c>
      <c r="AD37">
        <v>0</v>
      </c>
      <c r="AE37">
        <v>58225.645211700998</v>
      </c>
      <c r="AF37">
        <v>88</v>
      </c>
      <c r="AG37">
        <f>AF37/AB37</f>
        <v>2.0987359885523492E-2</v>
      </c>
      <c r="AH37" s="1">
        <v>6.5483618527650794E-11</v>
      </c>
      <c r="AI37" s="4">
        <v>57326.629559798501</v>
      </c>
      <c r="AJ37" s="4">
        <v>2658</v>
      </c>
      <c r="AK37" s="4">
        <f>AJ37/AB37</f>
        <v>0.63391366563319818</v>
      </c>
      <c r="AL37">
        <v>56521.793291089802</v>
      </c>
      <c r="AM37">
        <f>AL37/F37</f>
        <v>1.2458136337688162</v>
      </c>
      <c r="AN37">
        <v>0.31395070000144099</v>
      </c>
      <c r="AO37">
        <v>0</v>
      </c>
      <c r="AP37">
        <f>AO37/10</f>
        <v>0</v>
      </c>
      <c r="AQ37">
        <v>58225.645211700903</v>
      </c>
      <c r="AR37">
        <f>AQ37/F37</f>
        <v>1.2833687400211706</v>
      </c>
      <c r="AS37">
        <v>5.9228220999939296</v>
      </c>
      <c r="AT37">
        <v>82</v>
      </c>
      <c r="AU37">
        <f>AT37/100</f>
        <v>0.82</v>
      </c>
      <c r="AV37">
        <v>58046.721744345901</v>
      </c>
      <c r="AW37">
        <f>AV37/F37</f>
        <v>1.2794250347341838</v>
      </c>
      <c r="AX37">
        <v>3.6624890999955801</v>
      </c>
      <c r="AY37" t="str">
        <f>IF(AL37=MIN(AL37,AQ37,AV37),"Simulated Annealing",IF(AQ37=MIN(AL37,AQ37,AV37),"Ant Colony Optimization","Genetic Algorithm"))</f>
        <v>Simulated Annealing</v>
      </c>
      <c r="AZ37">
        <f>MIN(AL37,AQ37,AV37)</f>
        <v>56521.793291089802</v>
      </c>
      <c r="BA37">
        <f>AZ37/F37</f>
        <v>1.2458136337688162</v>
      </c>
      <c r="BB37">
        <v>52300.215707110998</v>
      </c>
      <c r="BC37">
        <f>BB37/F37</f>
        <v>1.1527645883670188</v>
      </c>
      <c r="BD37">
        <v>9.6000000000000002E-2</v>
      </c>
      <c r="BE37">
        <v>5</v>
      </c>
      <c r="BF37">
        <v>5</v>
      </c>
    </row>
    <row r="38" spans="1:58" x14ac:dyDescent="0.3">
      <c r="A38">
        <v>79</v>
      </c>
      <c r="B38">
        <v>185</v>
      </c>
      <c r="C38">
        <v>0.37013855406964402</v>
      </c>
      <c r="D38">
        <v>1.61081976315422</v>
      </c>
      <c r="E38">
        <f>SQRT(D38)</f>
        <v>1.2691807448721479</v>
      </c>
      <c r="F38">
        <v>46606.160935255699</v>
      </c>
      <c r="G38">
        <v>0.60633189999498405</v>
      </c>
      <c r="H38">
        <v>59910.0522922171</v>
      </c>
      <c r="I38">
        <f>H38/F38</f>
        <v>1.2854534913408313</v>
      </c>
      <c r="J38">
        <v>0.16730189998634101</v>
      </c>
      <c r="K38">
        <v>214647.744343639</v>
      </c>
      <c r="L38" t="s">
        <v>44</v>
      </c>
      <c r="M38">
        <v>0</v>
      </c>
      <c r="N38">
        <v>174</v>
      </c>
      <c r="O38">
        <f>(N38+1)/B38</f>
        <v>0.94594594594594594</v>
      </c>
      <c r="P38">
        <v>63523.8220743454</v>
      </c>
      <c r="Q38">
        <f>P38/F38</f>
        <v>1.3629919478369257</v>
      </c>
      <c r="R38">
        <v>0.60633189999498405</v>
      </c>
      <c r="S38">
        <v>88</v>
      </c>
      <c r="T38">
        <f>(S38+1)/B38</f>
        <v>0.48108108108108111</v>
      </c>
      <c r="U38">
        <v>59299.471684202603</v>
      </c>
      <c r="V38">
        <f>U38/F38</f>
        <v>1.2723526352359333</v>
      </c>
      <c r="W38">
        <v>0.163178500020876</v>
      </c>
      <c r="X38" t="str">
        <f>IF(H38=MIN(H38,P38,U38),"Christofides",IF(P38=MIN(H38,P38,U38),"Arithmetic Series","Nearest Neighbor"))</f>
        <v>Nearest Neighbor</v>
      </c>
      <c r="Y38">
        <f>MIN(H38,P38,U38)</f>
        <v>59299.471684202603</v>
      </c>
      <c r="Z38">
        <f>Y38/F38</f>
        <v>1.2723526352359333</v>
      </c>
      <c r="AA38">
        <v>3760</v>
      </c>
      <c r="AB38">
        <v>4196</v>
      </c>
      <c r="AC38">
        <f>AA38/AB38</f>
        <v>0.89609151572926593</v>
      </c>
      <c r="AD38">
        <v>0</v>
      </c>
      <c r="AE38">
        <v>59299.471684202603</v>
      </c>
      <c r="AF38">
        <v>178</v>
      </c>
      <c r="AG38">
        <f>AF38/AB38</f>
        <v>4.242135367016206E-2</v>
      </c>
      <c r="AH38" s="1">
        <v>5.0931703299283897E-11</v>
      </c>
      <c r="AI38" s="4">
        <v>59017.8754607343</v>
      </c>
      <c r="AJ38" s="4">
        <v>326</v>
      </c>
      <c r="AK38" s="4">
        <f>AJ38/AB38</f>
        <v>7.7693040991420395E-2</v>
      </c>
      <c r="AL38">
        <v>57526.798579214999</v>
      </c>
      <c r="AM38">
        <f>AL38/F38</f>
        <v>1.2343174684379179</v>
      </c>
      <c r="AN38">
        <v>0.31577320001088</v>
      </c>
      <c r="AO38">
        <v>9</v>
      </c>
      <c r="AP38">
        <f>AO38/10</f>
        <v>0.9</v>
      </c>
      <c r="AQ38">
        <v>58409.842320677497</v>
      </c>
      <c r="AR38">
        <f>AQ38/F38</f>
        <v>1.2532643999967992</v>
      </c>
      <c r="AS38">
        <v>6.6473102999734603</v>
      </c>
      <c r="AT38">
        <v>66</v>
      </c>
      <c r="AU38">
        <f>AT38/100</f>
        <v>0.66</v>
      </c>
      <c r="AV38">
        <v>59170.069110399301</v>
      </c>
      <c r="AW38">
        <f>AV38/F38</f>
        <v>1.2695761230494209</v>
      </c>
      <c r="AX38">
        <v>4.0076431000488801</v>
      </c>
      <c r="AY38" t="str">
        <f>IF(AL38=MIN(AL38,AQ38,AV38),"Simulated Annealing",IF(AQ38=MIN(AL38,AQ38,AV38),"Ant Colony Optimization","Genetic Algorithm"))</f>
        <v>Simulated Annealing</v>
      </c>
      <c r="AZ38">
        <f>MIN(AL38,AQ38,AV38)</f>
        <v>57526.798579214999</v>
      </c>
      <c r="BA38">
        <f>AZ38/F38</f>
        <v>1.2343174684379179</v>
      </c>
      <c r="BB38">
        <v>53368.663201905198</v>
      </c>
      <c r="BC38">
        <f>BB38/F38</f>
        <v>1.1450988910252407</v>
      </c>
      <c r="BD38">
        <v>0.112</v>
      </c>
      <c r="BE38">
        <v>5</v>
      </c>
      <c r="BF38">
        <v>5.0549999999999997</v>
      </c>
    </row>
    <row r="39" spans="1:58" x14ac:dyDescent="0.3">
      <c r="A39">
        <v>19</v>
      </c>
      <c r="B39">
        <v>190</v>
      </c>
      <c r="C39">
        <v>0.36675467861081501</v>
      </c>
      <c r="D39">
        <v>1.61641089977547</v>
      </c>
      <c r="E39">
        <f>SQRT(D39)</f>
        <v>1.2713814926195324</v>
      </c>
      <c r="F39">
        <v>46022.3810044454</v>
      </c>
      <c r="G39">
        <v>0.67364369996357698</v>
      </c>
      <c r="H39">
        <v>56714.389347328302</v>
      </c>
      <c r="I39">
        <f>H39/F39</f>
        <v>1.2323219292337382</v>
      </c>
      <c r="J39">
        <v>0.168809199996758</v>
      </c>
      <c r="K39">
        <v>227827.43789261501</v>
      </c>
      <c r="L39" t="s">
        <v>44</v>
      </c>
      <c r="M39" t="s">
        <v>37</v>
      </c>
      <c r="N39">
        <v>2</v>
      </c>
      <c r="O39">
        <f>(N39+1)/B39</f>
        <v>1.5789473684210527E-2</v>
      </c>
      <c r="P39">
        <v>61358.367261799598</v>
      </c>
      <c r="Q39">
        <f>P39/F39</f>
        <v>1.3332288752264438</v>
      </c>
      <c r="R39">
        <v>0.67364369996357698</v>
      </c>
      <c r="S39">
        <v>89</v>
      </c>
      <c r="T39">
        <f>(S39+1)/B39</f>
        <v>0.47368421052631576</v>
      </c>
      <c r="U39">
        <v>57963.841344686698</v>
      </c>
      <c r="V39">
        <f>U39/F39</f>
        <v>1.2594707201065465</v>
      </c>
      <c r="W39">
        <v>0.17249699996318599</v>
      </c>
      <c r="X39" t="str">
        <f>IF(H39=MIN(H39,P39,U39),"Christofides",IF(P39=MIN(H39,P39,U39),"Arithmetic Series","Nearest Neighbor"))</f>
        <v>Christofides</v>
      </c>
      <c r="Y39">
        <f>MIN(H39,P39,U39)</f>
        <v>56714.389347328302</v>
      </c>
      <c r="Z39">
        <f>Y39/F39</f>
        <v>1.2323219292337382</v>
      </c>
      <c r="AA39">
        <v>3393</v>
      </c>
      <c r="AB39">
        <v>4199</v>
      </c>
      <c r="AC39">
        <f>AA39/AB39</f>
        <v>0.80804953560371517</v>
      </c>
      <c r="AD39">
        <v>0</v>
      </c>
      <c r="AE39">
        <v>56711.5383510752</v>
      </c>
      <c r="AF39">
        <v>421</v>
      </c>
      <c r="AG39">
        <f>AF39/AB39</f>
        <v>0.10026196713503215</v>
      </c>
      <c r="AH39" s="1">
        <v>1.45519152283668E-11</v>
      </c>
      <c r="AI39" s="4">
        <v>56711.5383510752</v>
      </c>
      <c r="AJ39" s="4">
        <v>421</v>
      </c>
      <c r="AK39" s="4">
        <f>AJ39/AB39</f>
        <v>0.10026196713503215</v>
      </c>
      <c r="AL39">
        <v>55614.4722244722</v>
      </c>
      <c r="AM39">
        <f>AL39/F39</f>
        <v>1.2084223156359573</v>
      </c>
      <c r="AN39">
        <v>0.33058989999699401</v>
      </c>
      <c r="AO39">
        <v>1</v>
      </c>
      <c r="AP39">
        <f>AO39/10</f>
        <v>0.1</v>
      </c>
      <c r="AQ39">
        <v>56714.389347328201</v>
      </c>
      <c r="AR39">
        <f>AQ39/F39</f>
        <v>1.232321929233736</v>
      </c>
      <c r="AS39">
        <v>7.0012569000100404</v>
      </c>
      <c r="AT39">
        <v>98</v>
      </c>
      <c r="AU39">
        <f>AT39/100</f>
        <v>0.98</v>
      </c>
      <c r="AV39">
        <v>56680.144928298701</v>
      </c>
      <c r="AW39">
        <f>AV39/F39</f>
        <v>1.2315778473700403</v>
      </c>
      <c r="AX39">
        <v>6.45479499999783</v>
      </c>
      <c r="AY39" t="str">
        <f>IF(AL39=MIN(AL39,AQ39,AV39),"Simulated Annealing",IF(AQ39=MIN(AL39,AQ39,AV39),"Ant Colony Optimization","Genetic Algorithm"))</f>
        <v>Simulated Annealing</v>
      </c>
      <c r="AZ39">
        <f>MIN(AL39,AQ39,AV39)</f>
        <v>55614.4722244722</v>
      </c>
      <c r="BA39">
        <f>AZ39/F39</f>
        <v>1.2084223156359573</v>
      </c>
      <c r="BB39">
        <v>53201.820345433604</v>
      </c>
      <c r="BC39">
        <f>BB39/F39</f>
        <v>1.1559988680354178</v>
      </c>
      <c r="BD39">
        <v>4.8000000000000001E-2</v>
      </c>
      <c r="BE39">
        <v>5</v>
      </c>
      <c r="BF39">
        <v>5.0750000000000002</v>
      </c>
    </row>
    <row r="40" spans="1:58" x14ac:dyDescent="0.3">
      <c r="A40">
        <v>80</v>
      </c>
      <c r="B40">
        <v>195</v>
      </c>
      <c r="C40">
        <v>0.36073140396527698</v>
      </c>
      <c r="D40">
        <v>5.7783921947796797</v>
      </c>
      <c r="E40">
        <f>SQRT(D40)</f>
        <v>2.4038286533735467</v>
      </c>
      <c r="F40">
        <v>46697.163340820698</v>
      </c>
      <c r="G40">
        <v>0.72115699999267202</v>
      </c>
      <c r="H40">
        <v>62758.389343475901</v>
      </c>
      <c r="I40">
        <f>H40/F40</f>
        <v>1.3439443609332722</v>
      </c>
      <c r="J40">
        <v>0.19180500000948</v>
      </c>
      <c r="K40">
        <v>241427.325511537</v>
      </c>
      <c r="L40" t="s">
        <v>44</v>
      </c>
      <c r="M40">
        <v>0</v>
      </c>
      <c r="N40">
        <v>104</v>
      </c>
      <c r="O40">
        <f>(N40+1)/B40</f>
        <v>0.53846153846153844</v>
      </c>
      <c r="P40">
        <v>64176.8451507067</v>
      </c>
      <c r="Q40">
        <f>P40/F40</f>
        <v>1.3743199920369895</v>
      </c>
      <c r="R40">
        <v>0.72115699999267202</v>
      </c>
      <c r="S40">
        <v>106</v>
      </c>
      <c r="T40">
        <f>(S40+1)/B40</f>
        <v>0.54871794871794877</v>
      </c>
      <c r="U40">
        <v>61469.306280028701</v>
      </c>
      <c r="V40">
        <f>U40/F40</f>
        <v>1.3163391924128893</v>
      </c>
      <c r="W40">
        <v>0.19441090000327599</v>
      </c>
      <c r="X40" t="str">
        <f>IF(H40=MIN(H40,P40,U40),"Christofides",IF(P40=MIN(H40,P40,U40),"Arithmetic Series","Nearest Neighbor"))</f>
        <v>Nearest Neighbor</v>
      </c>
      <c r="Y40">
        <f>MIN(H40,P40,U40)</f>
        <v>61469.306280028701</v>
      </c>
      <c r="Z40">
        <f>Y40/F40</f>
        <v>1.3163391924128893</v>
      </c>
      <c r="AA40">
        <v>4145</v>
      </c>
      <c r="AB40">
        <v>4201</v>
      </c>
      <c r="AC40">
        <f>AA40/AB40</f>
        <v>0.98666984051416329</v>
      </c>
      <c r="AD40">
        <v>0</v>
      </c>
      <c r="AE40">
        <v>61469.306280028701</v>
      </c>
      <c r="AF40">
        <v>63</v>
      </c>
      <c r="AG40">
        <f>AF40/AB40</f>
        <v>1.4996429421566294E-2</v>
      </c>
      <c r="AH40" s="1">
        <v>4.3655745685100497E-11</v>
      </c>
      <c r="AI40" s="4">
        <v>59750.687689528801</v>
      </c>
      <c r="AJ40" s="4">
        <v>3904</v>
      </c>
      <c r="AK40" s="4">
        <f>AJ40/AB40</f>
        <v>0.92930254701261605</v>
      </c>
      <c r="AL40">
        <v>59679.004553139501</v>
      </c>
      <c r="AM40">
        <f>AL40/F40</f>
        <v>1.2780006382308584</v>
      </c>
      <c r="AN40">
        <v>0.34441270004026497</v>
      </c>
      <c r="AO40">
        <v>4</v>
      </c>
      <c r="AP40">
        <f>AO40/10</f>
        <v>0.4</v>
      </c>
      <c r="AQ40">
        <v>60117.508504923899</v>
      </c>
      <c r="AR40">
        <f>AQ40/F40</f>
        <v>1.2873910148707406</v>
      </c>
      <c r="AS40">
        <v>7.4407074000337099</v>
      </c>
      <c r="AT40">
        <v>74</v>
      </c>
      <c r="AU40">
        <f>AT40/100</f>
        <v>0.74</v>
      </c>
      <c r="AV40">
        <v>60969.309908804898</v>
      </c>
      <c r="AW40">
        <f>AV40/F40</f>
        <v>1.3056319816220634</v>
      </c>
      <c r="AX40">
        <v>4.4612546999705902</v>
      </c>
      <c r="AY40" t="str">
        <f>IF(AL40=MIN(AL40,AQ40,AV40),"Simulated Annealing",IF(AQ40=MIN(AL40,AQ40,AV40),"Ant Colony Optimization","Genetic Algorithm"))</f>
        <v>Simulated Annealing</v>
      </c>
      <c r="AZ40">
        <f>MIN(AL40,AQ40,AV40)</f>
        <v>59679.004553139501</v>
      </c>
      <c r="BA40">
        <f>AZ40/F40</f>
        <v>1.2780006382308584</v>
      </c>
      <c r="BB40">
        <v>54520.010608739598</v>
      </c>
      <c r="BC40">
        <f>BB40/F40</f>
        <v>1.1675229651707879</v>
      </c>
      <c r="BD40">
        <v>0.112</v>
      </c>
      <c r="BE40">
        <v>5</v>
      </c>
      <c r="BF40">
        <v>5</v>
      </c>
    </row>
    <row r="41" spans="1:58" x14ac:dyDescent="0.3">
      <c r="A41">
        <v>20</v>
      </c>
      <c r="B41">
        <v>200</v>
      </c>
      <c r="C41">
        <v>0.32904639114911099</v>
      </c>
      <c r="D41">
        <v>2.6582084758606399</v>
      </c>
      <c r="E41">
        <f>SQRT(D41)</f>
        <v>1.630401323558295</v>
      </c>
      <c r="F41">
        <v>46808.4551222312</v>
      </c>
      <c r="G41">
        <v>0.76468589995056302</v>
      </c>
      <c r="H41">
        <v>60211.336777283599</v>
      </c>
      <c r="I41">
        <f>H41/F41</f>
        <v>1.2863346295034386</v>
      </c>
      <c r="J41">
        <v>0.17362590000266201</v>
      </c>
      <c r="K41">
        <v>255452.84351161699</v>
      </c>
      <c r="L41" t="s">
        <v>44</v>
      </c>
      <c r="M41">
        <v>0</v>
      </c>
      <c r="N41">
        <v>67</v>
      </c>
      <c r="O41">
        <f>(N41+1)/B41</f>
        <v>0.34</v>
      </c>
      <c r="P41">
        <v>67272.1358756017</v>
      </c>
      <c r="Q41">
        <f>P41/F41</f>
        <v>1.4371791527819828</v>
      </c>
      <c r="R41">
        <v>0.76468589995056302</v>
      </c>
      <c r="S41">
        <v>61</v>
      </c>
      <c r="T41">
        <f>(S41+1)/B41</f>
        <v>0.31</v>
      </c>
      <c r="U41">
        <v>62949.4043315749</v>
      </c>
      <c r="V41">
        <f>U41/F41</f>
        <v>1.3448297784491017</v>
      </c>
      <c r="W41">
        <v>0.19963609997648701</v>
      </c>
      <c r="X41" t="str">
        <f>IF(H41=MIN(H41,P41,U41),"Christofides",IF(P41=MIN(H41,P41,U41),"Arithmetic Series","Nearest Neighbor"))</f>
        <v>Christofides</v>
      </c>
      <c r="Y41">
        <f>MIN(H41,P41,U41)</f>
        <v>60211.336777283599</v>
      </c>
      <c r="Z41">
        <f>Y41/F41</f>
        <v>1.2863346295034386</v>
      </c>
      <c r="AA41">
        <v>3266</v>
      </c>
      <c r="AB41">
        <v>4204</v>
      </c>
      <c r="AC41">
        <f>AA41/AB41</f>
        <v>0.77687916270218838</v>
      </c>
      <c r="AD41">
        <v>0</v>
      </c>
      <c r="AE41">
        <v>60211.336777283599</v>
      </c>
      <c r="AF41">
        <v>51</v>
      </c>
      <c r="AG41">
        <f>AF41/AB41</f>
        <v>1.2131303520456709E-2</v>
      </c>
      <c r="AH41" s="1">
        <v>8.7311491370201098E-11</v>
      </c>
      <c r="AI41" s="4">
        <v>59789.13892741</v>
      </c>
      <c r="AJ41" s="4">
        <v>3697</v>
      </c>
      <c r="AK41" s="4">
        <f>AJ41/AB41</f>
        <v>0.87940057088487156</v>
      </c>
      <c r="AL41">
        <v>59789.138927409898</v>
      </c>
      <c r="AM41">
        <f>AL41/F41</f>
        <v>1.2773149374676469</v>
      </c>
      <c r="AN41">
        <v>0.339049700007308</v>
      </c>
      <c r="AO41">
        <v>0</v>
      </c>
      <c r="AP41">
        <f>AO41/10</f>
        <v>0</v>
      </c>
      <c r="AQ41">
        <v>60211.336777283599</v>
      </c>
      <c r="AR41">
        <f>AQ41/F41</f>
        <v>1.2863346295034386</v>
      </c>
      <c r="AS41">
        <v>8.3694279000046592</v>
      </c>
      <c r="AT41">
        <v>39</v>
      </c>
      <c r="AU41">
        <f>AT41/100</f>
        <v>0.39</v>
      </c>
      <c r="AV41">
        <v>60072.766680802299</v>
      </c>
      <c r="AW41">
        <f>AV41/F41</f>
        <v>1.2833742648402713</v>
      </c>
      <c r="AX41">
        <v>7.2569972000055696</v>
      </c>
      <c r="AY41" t="str">
        <f>IF(AL41=MIN(AL41,AQ41,AV41),"Simulated Annealing",IF(AQ41=MIN(AL41,AQ41,AV41),"Ant Colony Optimization","Genetic Algorithm"))</f>
        <v>Simulated Annealing</v>
      </c>
      <c r="AZ41">
        <f>MIN(AL41,AQ41,AV41)</f>
        <v>59789.138927409898</v>
      </c>
      <c r="BA41">
        <f>AZ41/F41</f>
        <v>1.2773149374676469</v>
      </c>
      <c r="BB41">
        <v>55043.039782187203</v>
      </c>
      <c r="BC41">
        <f>BB41/F41</f>
        <v>1.1759208809274517</v>
      </c>
      <c r="BD41">
        <v>0.112</v>
      </c>
      <c r="BE41">
        <v>5</v>
      </c>
      <c r="BF41">
        <v>5</v>
      </c>
    </row>
    <row r="42" spans="1:58" x14ac:dyDescent="0.3">
      <c r="A42">
        <v>81</v>
      </c>
      <c r="B42">
        <v>205</v>
      </c>
      <c r="C42">
        <v>0.32616381736829803</v>
      </c>
      <c r="D42">
        <v>2.3676094968943602</v>
      </c>
      <c r="E42">
        <f>SQRT(D42)</f>
        <v>1.5387038366412038</v>
      </c>
      <c r="F42">
        <v>47826.631108736299</v>
      </c>
      <c r="G42">
        <v>0.80517200002213896</v>
      </c>
      <c r="H42">
        <v>62043.9512543827</v>
      </c>
      <c r="I42">
        <f>H42/F42</f>
        <v>1.2972678571761116</v>
      </c>
      <c r="J42">
        <v>0.23437600000761399</v>
      </c>
      <c r="K42">
        <v>269919.56750563701</v>
      </c>
      <c r="L42" t="s">
        <v>44</v>
      </c>
      <c r="M42">
        <v>1</v>
      </c>
      <c r="N42">
        <v>136</v>
      </c>
      <c r="O42">
        <f>(N42+1)/B42</f>
        <v>0.66829268292682931</v>
      </c>
      <c r="P42">
        <v>65567.261552501906</v>
      </c>
      <c r="Q42">
        <f>P42/F42</f>
        <v>1.370936234321656</v>
      </c>
      <c r="R42">
        <v>0.80517200002213896</v>
      </c>
      <c r="S42">
        <v>186</v>
      </c>
      <c r="T42">
        <f>(S42+1)/B42</f>
        <v>0.91219512195121955</v>
      </c>
      <c r="U42">
        <v>61299.874558197102</v>
      </c>
      <c r="V42">
        <f>U42/F42</f>
        <v>1.2817100669045389</v>
      </c>
      <c r="W42">
        <v>0.226387500006239</v>
      </c>
      <c r="X42" t="str">
        <f>IF(H42=MIN(H42,P42,U42),"Christofides",IF(P42=MIN(H42,P42,U42),"Arithmetic Series","Nearest Neighbor"))</f>
        <v>Nearest Neighbor</v>
      </c>
      <c r="Y42">
        <f>MIN(H42,P42,U42)</f>
        <v>61299.874558197102</v>
      </c>
      <c r="Z42">
        <f>Y42/F42</f>
        <v>1.2817100669045389</v>
      </c>
      <c r="AA42">
        <v>3629</v>
      </c>
      <c r="AB42">
        <v>4206</v>
      </c>
      <c r="AC42">
        <f>AA42/AB42</f>
        <v>0.86281502615311456</v>
      </c>
      <c r="AD42">
        <v>0</v>
      </c>
      <c r="AE42">
        <v>60837.756139549499</v>
      </c>
      <c r="AF42">
        <v>196</v>
      </c>
      <c r="AG42">
        <f>AF42/AB42</f>
        <v>4.6600095102234902E-2</v>
      </c>
      <c r="AH42" s="1">
        <v>6.5483618527650794E-11</v>
      </c>
      <c r="AI42" s="4">
        <v>60837.756139549499</v>
      </c>
      <c r="AJ42" s="4">
        <v>196</v>
      </c>
      <c r="AK42" s="4">
        <f>AJ42/AB42</f>
        <v>4.6600095102234902E-2</v>
      </c>
      <c r="AL42">
        <v>60152.347672105003</v>
      </c>
      <c r="AM42">
        <f>AL42/F42</f>
        <v>1.2577165959138028</v>
      </c>
      <c r="AN42">
        <v>0.35459050000645198</v>
      </c>
      <c r="AO42">
        <v>6</v>
      </c>
      <c r="AP42">
        <f>AO42/10</f>
        <v>0.6</v>
      </c>
      <c r="AQ42">
        <v>60673.121389469503</v>
      </c>
      <c r="AR42">
        <f>AQ42/F42</f>
        <v>1.2686053770236514</v>
      </c>
      <c r="AS42">
        <v>8.38789399998495</v>
      </c>
      <c r="AT42">
        <v>69</v>
      </c>
      <c r="AU42">
        <f>AT42/100</f>
        <v>0.69</v>
      </c>
      <c r="AV42">
        <v>61281.219762603199</v>
      </c>
      <c r="AW42">
        <f>AV42/F42</f>
        <v>1.2813200165254626</v>
      </c>
      <c r="AX42">
        <v>5.3581573000410501</v>
      </c>
      <c r="AY42" t="str">
        <f>IF(AL42=MIN(AL42,AQ42,AV42),"Simulated Annealing",IF(AQ42=MIN(AL42,AQ42,AV42),"Ant Colony Optimization","Genetic Algorithm"))</f>
        <v>Simulated Annealing</v>
      </c>
      <c r="AZ42">
        <f>MIN(AL42,AQ42,AV42)</f>
        <v>60152.347672105003</v>
      </c>
      <c r="BA42">
        <f>AZ42/F42</f>
        <v>1.2577165959138028</v>
      </c>
      <c r="BB42">
        <v>55028.765731543201</v>
      </c>
      <c r="BC42">
        <f>BB42/F42</f>
        <v>1.1505883742142005</v>
      </c>
      <c r="BD42">
        <v>0.112</v>
      </c>
      <c r="BE42">
        <v>5</v>
      </c>
      <c r="BF42">
        <v>5.1180000000000003</v>
      </c>
    </row>
    <row r="43" spans="1:58" x14ac:dyDescent="0.3">
      <c r="A43">
        <v>21</v>
      </c>
      <c r="B43">
        <v>210</v>
      </c>
      <c r="C43">
        <v>0.29109191790997402</v>
      </c>
      <c r="D43">
        <v>0.71517971833054905</v>
      </c>
      <c r="E43">
        <f>SQRT(D43)</f>
        <v>0.84568298926403207</v>
      </c>
      <c r="F43">
        <v>48220.5152870565</v>
      </c>
      <c r="G43">
        <v>0.95876129996031501</v>
      </c>
      <c r="H43">
        <v>60760.904764396299</v>
      </c>
      <c r="I43">
        <f>H43/F43</f>
        <v>1.2600633652022779</v>
      </c>
      <c r="J43">
        <v>0.22607400000561001</v>
      </c>
      <c r="K43">
        <v>284808.034752101</v>
      </c>
      <c r="L43" t="s">
        <v>44</v>
      </c>
      <c r="M43">
        <v>0</v>
      </c>
      <c r="N43">
        <v>203</v>
      </c>
      <c r="O43">
        <f>(N43+1)/B43</f>
        <v>0.97142857142857142</v>
      </c>
      <c r="P43">
        <v>68405.149981697206</v>
      </c>
      <c r="Q43">
        <f>P43/F43</f>
        <v>1.4185901908032643</v>
      </c>
      <c r="R43">
        <v>0.95876129996031501</v>
      </c>
      <c r="S43">
        <v>46</v>
      </c>
      <c r="T43">
        <f>(S43+1)/B43</f>
        <v>0.22380952380952382</v>
      </c>
      <c r="U43">
        <v>62662.532406695798</v>
      </c>
      <c r="V43">
        <f>U43/F43</f>
        <v>1.299499435741531</v>
      </c>
      <c r="W43">
        <v>0.228932700003497</v>
      </c>
      <c r="X43" t="str">
        <f>IF(H43=MIN(H43,P43,U43),"Christofides",IF(P43=MIN(H43,P43,U43),"Arithmetic Series","Nearest Neighbor"))</f>
        <v>Christofides</v>
      </c>
      <c r="Y43">
        <f>MIN(H43,P43,U43)</f>
        <v>60760.904764396299</v>
      </c>
      <c r="Z43">
        <f>Y43/F43</f>
        <v>1.2600633652022779</v>
      </c>
      <c r="AA43">
        <v>4190</v>
      </c>
      <c r="AB43">
        <v>4209</v>
      </c>
      <c r="AC43">
        <f>AA43/AB43</f>
        <v>0.99548586362556424</v>
      </c>
      <c r="AD43">
        <v>0</v>
      </c>
      <c r="AE43">
        <v>60760.904764396299</v>
      </c>
      <c r="AF43">
        <v>686</v>
      </c>
      <c r="AG43">
        <f>AF43/AB43</f>
        <v>0.162984081729627</v>
      </c>
      <c r="AH43" s="1">
        <v>5.0931703299283897E-11</v>
      </c>
      <c r="AI43" s="4">
        <v>59849.2149231023</v>
      </c>
      <c r="AJ43" s="4">
        <v>3719</v>
      </c>
      <c r="AK43" s="4">
        <f>AJ43/AB43</f>
        <v>0.88358279876455215</v>
      </c>
      <c r="AL43">
        <v>59796.966511226798</v>
      </c>
      <c r="AM43">
        <f>AL43/F43</f>
        <v>1.2400731546574262</v>
      </c>
      <c r="AN43">
        <v>0.36901460000080899</v>
      </c>
      <c r="AO43">
        <v>1</v>
      </c>
      <c r="AP43">
        <f>AO43/10</f>
        <v>0.1</v>
      </c>
      <c r="AQ43">
        <v>60760.904764396299</v>
      </c>
      <c r="AR43">
        <f>AQ43/F43</f>
        <v>1.2600633652022779</v>
      </c>
      <c r="AS43">
        <v>9.0508053999947098</v>
      </c>
      <c r="AT43">
        <v>91</v>
      </c>
      <c r="AU43">
        <f>AT43/100</f>
        <v>0.91</v>
      </c>
      <c r="AV43">
        <v>60098.680962619001</v>
      </c>
      <c r="AW43">
        <f>AV43/F43</f>
        <v>1.2463301274333516</v>
      </c>
      <c r="AX43">
        <v>6.0442211999907096</v>
      </c>
      <c r="AY43" t="str">
        <f>IF(AL43=MIN(AL43,AQ43,AV43),"Simulated Annealing",IF(AQ43=MIN(AL43,AQ43,AV43),"Ant Colony Optimization","Genetic Algorithm"))</f>
        <v>Simulated Annealing</v>
      </c>
      <c r="AZ43">
        <f>MIN(AL43,AQ43,AV43)</f>
        <v>59796.966511226798</v>
      </c>
      <c r="BA43">
        <f>AZ43/F43</f>
        <v>1.2400731546574262</v>
      </c>
      <c r="BB43">
        <v>55557.558697665103</v>
      </c>
      <c r="BC43">
        <f>BB43/F43</f>
        <v>1.1521560557146937</v>
      </c>
      <c r="BD43">
        <v>9.6000000000000002E-2</v>
      </c>
      <c r="BE43">
        <v>5</v>
      </c>
      <c r="BF43">
        <v>5.085</v>
      </c>
    </row>
    <row r="44" spans="1:58" x14ac:dyDescent="0.3">
      <c r="A44">
        <v>82</v>
      </c>
      <c r="B44">
        <v>215</v>
      </c>
      <c r="C44">
        <v>0.28374046649339102</v>
      </c>
      <c r="D44">
        <v>2.0027222148835899</v>
      </c>
      <c r="E44">
        <f>SQRT(D44)</f>
        <v>1.4151756833989164</v>
      </c>
      <c r="F44">
        <v>53035.732319242998</v>
      </c>
      <c r="G44">
        <v>1.00861129997065</v>
      </c>
      <c r="H44">
        <v>68627.032599618702</v>
      </c>
      <c r="I44">
        <f>H44/F44</f>
        <v>1.2939772790639623</v>
      </c>
      <c r="J44">
        <v>0.204892999958246</v>
      </c>
      <c r="K44">
        <v>300128.71719566098</v>
      </c>
      <c r="L44" t="s">
        <v>44</v>
      </c>
      <c r="M44">
        <v>1</v>
      </c>
      <c r="N44">
        <v>151</v>
      </c>
      <c r="O44">
        <f>(N44+1)/B44</f>
        <v>0.7069767441860465</v>
      </c>
      <c r="P44">
        <v>79724.612446086496</v>
      </c>
      <c r="Q44">
        <f>P44/F44</f>
        <v>1.5032245046828541</v>
      </c>
      <c r="R44">
        <v>1.00861129997065</v>
      </c>
      <c r="S44">
        <v>14</v>
      </c>
      <c r="T44">
        <f>(S44+1)/B44</f>
        <v>6.9767441860465115E-2</v>
      </c>
      <c r="U44">
        <v>67652.371004316607</v>
      </c>
      <c r="V44">
        <f>U44/F44</f>
        <v>1.2755998276235783</v>
      </c>
      <c r="W44">
        <v>0.25726159999612702</v>
      </c>
      <c r="X44" t="str">
        <f>IF(H44=MIN(H44,P44,U44),"Christofides",IF(P44=MIN(H44,P44,U44),"Arithmetic Series","Nearest Neighbor"))</f>
        <v>Nearest Neighbor</v>
      </c>
      <c r="Y44">
        <f>MIN(H44,P44,U44)</f>
        <v>67652.371004316607</v>
      </c>
      <c r="Z44">
        <f>Y44/F44</f>
        <v>1.2755998276235783</v>
      </c>
      <c r="AA44">
        <v>4185</v>
      </c>
      <c r="AB44">
        <v>4211</v>
      </c>
      <c r="AC44">
        <f>AA44/AB44</f>
        <v>0.99382569460935644</v>
      </c>
      <c r="AD44">
        <v>0</v>
      </c>
      <c r="AE44">
        <v>67440.116797921699</v>
      </c>
      <c r="AF44">
        <v>239</v>
      </c>
      <c r="AG44">
        <f>AF44/AB44</f>
        <v>5.6756114937069578E-2</v>
      </c>
      <c r="AH44" s="1">
        <v>5.8207660913467401E-11</v>
      </c>
      <c r="AI44" s="4">
        <v>66497.1782599898</v>
      </c>
      <c r="AJ44" s="4">
        <v>1559</v>
      </c>
      <c r="AK44" s="4">
        <f>AJ44/AB44</f>
        <v>0.37022085015435763</v>
      </c>
      <c r="AL44">
        <v>66211.946482650106</v>
      </c>
      <c r="AM44">
        <f>AL44/F44</f>
        <v>1.2484403172580756</v>
      </c>
      <c r="AN44">
        <v>0.37679660000139797</v>
      </c>
      <c r="AO44">
        <v>7</v>
      </c>
      <c r="AP44">
        <f>AO44/10</f>
        <v>0.7</v>
      </c>
      <c r="AQ44">
        <v>65831.468990934998</v>
      </c>
      <c r="AR44">
        <f>AQ44/F44</f>
        <v>1.2412663333216447</v>
      </c>
      <c r="AS44">
        <v>9.2957223000121303</v>
      </c>
      <c r="AT44">
        <v>26</v>
      </c>
      <c r="AU44">
        <f>AT44/100</f>
        <v>0.26</v>
      </c>
      <c r="AV44">
        <v>66474.147308272397</v>
      </c>
      <c r="AW44">
        <f>AV44/F44</f>
        <v>1.253384169528164</v>
      </c>
      <c r="AX44">
        <v>5.9246660000062503</v>
      </c>
      <c r="AY44" t="str">
        <f>IF(AL44=MIN(AL44,AQ44,AV44),"Simulated Annealing",IF(AQ44=MIN(AL44,AQ44,AV44),"Ant Colony Optimization","Genetic Algorithm"))</f>
        <v>Ant Colony Optimization</v>
      </c>
      <c r="AZ44">
        <f>MIN(AL44,AQ44,AV44)</f>
        <v>65831.468990934998</v>
      </c>
      <c r="BA44">
        <f>AZ44/F44</f>
        <v>1.2412663333216447</v>
      </c>
      <c r="BB44">
        <v>61246.5337435439</v>
      </c>
      <c r="BC44">
        <f>BB44/F44</f>
        <v>1.1548164051903129</v>
      </c>
      <c r="BD44">
        <v>6.4000000000000001E-2</v>
      </c>
      <c r="BE44">
        <v>5</v>
      </c>
      <c r="BF44">
        <v>5.0460000000000003</v>
      </c>
    </row>
    <row r="45" spans="1:58" x14ac:dyDescent="0.3">
      <c r="A45">
        <v>22</v>
      </c>
      <c r="B45">
        <v>220</v>
      </c>
      <c r="C45">
        <v>0.26401934055759302</v>
      </c>
      <c r="D45">
        <v>0.84485792897057499</v>
      </c>
      <c r="E45">
        <f>SQRT(D45)</f>
        <v>0.91916153584153804</v>
      </c>
      <c r="F45">
        <v>49806.641500491198</v>
      </c>
      <c r="G45">
        <v>1.00463730003684</v>
      </c>
      <c r="H45">
        <v>64192.434541734998</v>
      </c>
      <c r="I45">
        <f>H45/F45</f>
        <v>1.2888328264635536</v>
      </c>
      <c r="J45">
        <v>0.22814389999257401</v>
      </c>
      <c r="K45">
        <v>315885.71396043402</v>
      </c>
      <c r="L45" t="s">
        <v>44</v>
      </c>
      <c r="M45">
        <v>0</v>
      </c>
      <c r="N45">
        <v>0</v>
      </c>
      <c r="O45">
        <f>(N45+1)/B45</f>
        <v>4.5454545454545452E-3</v>
      </c>
      <c r="P45">
        <v>68368.845154274299</v>
      </c>
      <c r="Q45">
        <f>P45/F45</f>
        <v>1.3726853105243011</v>
      </c>
      <c r="R45">
        <v>1.00463730003684</v>
      </c>
      <c r="S45">
        <v>159</v>
      </c>
      <c r="T45">
        <f>(S45+1)/B45</f>
        <v>0.72727272727272729</v>
      </c>
      <c r="U45">
        <v>64087.871295118202</v>
      </c>
      <c r="V45">
        <f>U45/F45</f>
        <v>1.2867334428579402</v>
      </c>
      <c r="W45">
        <v>0.29795839998405399</v>
      </c>
      <c r="X45" t="str">
        <f>IF(H45=MIN(H45,P45,U45),"Christofides",IF(P45=MIN(H45,P45,U45),"Arithmetic Series","Nearest Neighbor"))</f>
        <v>Nearest Neighbor</v>
      </c>
      <c r="Y45">
        <f>MIN(H45,P45,U45)</f>
        <v>64087.871295118202</v>
      </c>
      <c r="Z45">
        <f>Y45/F45</f>
        <v>1.2867334428579402</v>
      </c>
      <c r="AA45">
        <v>4198</v>
      </c>
      <c r="AB45">
        <v>4213</v>
      </c>
      <c r="AC45">
        <f>AA45/AB45</f>
        <v>0.99643959173985286</v>
      </c>
      <c r="AD45">
        <v>0</v>
      </c>
      <c r="AE45">
        <v>64087.871295118202</v>
      </c>
      <c r="AF45">
        <v>71</v>
      </c>
      <c r="AG45">
        <f>AF45/AB45</f>
        <v>1.6852599098029906E-2</v>
      </c>
      <c r="AH45" s="1">
        <v>4.3655745685100497E-11</v>
      </c>
      <c r="AI45" s="4">
        <v>64087.871295118202</v>
      </c>
      <c r="AJ45" s="4">
        <v>479</v>
      </c>
      <c r="AK45" s="4">
        <f>AJ45/AB45</f>
        <v>0.11369570377403275</v>
      </c>
      <c r="AL45">
        <v>63680.451256673099</v>
      </c>
      <c r="AM45">
        <f>AL45/F45</f>
        <v>1.2785534085056725</v>
      </c>
      <c r="AN45">
        <v>0.39738660000148202</v>
      </c>
      <c r="AO45">
        <v>8</v>
      </c>
      <c r="AP45">
        <f>AO45/10</f>
        <v>0.8</v>
      </c>
      <c r="AQ45">
        <v>62271.278407873397</v>
      </c>
      <c r="AR45">
        <f>AQ45/F45</f>
        <v>1.2502605381906602</v>
      </c>
      <c r="AS45">
        <v>11.9315132999909</v>
      </c>
      <c r="AT45">
        <v>72</v>
      </c>
      <c r="AU45">
        <f>AT45/100</f>
        <v>0.72</v>
      </c>
      <c r="AV45">
        <v>63656.180921793399</v>
      </c>
      <c r="AW45">
        <f>AV45/F45</f>
        <v>1.2780661173704237</v>
      </c>
      <c r="AX45">
        <v>7.7751736000063802</v>
      </c>
      <c r="AY45" t="str">
        <f>IF(AL45=MIN(AL45,AQ45,AV45),"Simulated Annealing",IF(AQ45=MIN(AL45,AQ45,AV45),"Ant Colony Optimization","Genetic Algorithm"))</f>
        <v>Ant Colony Optimization</v>
      </c>
      <c r="AZ45">
        <f>MIN(AL45,AQ45,AV45)</f>
        <v>62271.278407873397</v>
      </c>
      <c r="BA45">
        <f>AZ45/F45</f>
        <v>1.2502605381906602</v>
      </c>
      <c r="BB45">
        <v>57590.780574488897</v>
      </c>
      <c r="BC45">
        <f>BB45/F45</f>
        <v>1.1562871705356992</v>
      </c>
      <c r="BD45">
        <v>0.112</v>
      </c>
      <c r="BE45">
        <v>5</v>
      </c>
      <c r="BF45">
        <v>5</v>
      </c>
    </row>
    <row r="46" spans="1:58" x14ac:dyDescent="0.3">
      <c r="A46">
        <v>83</v>
      </c>
      <c r="B46">
        <v>225</v>
      </c>
      <c r="C46">
        <v>0.268959884272293</v>
      </c>
      <c r="D46">
        <v>3.2888726448808998</v>
      </c>
      <c r="E46">
        <f>SQRT(D46)</f>
        <v>1.8135249225971226</v>
      </c>
      <c r="F46">
        <v>51346.144177849499</v>
      </c>
      <c r="G46">
        <v>1.11828090000199</v>
      </c>
      <c r="H46">
        <v>67904.545114369495</v>
      </c>
      <c r="I46">
        <f>H46/F46</f>
        <v>1.3224857718461986</v>
      </c>
      <c r="J46">
        <v>0.23887140001170301</v>
      </c>
      <c r="K46">
        <v>332080.86429318698</v>
      </c>
      <c r="L46" t="s">
        <v>44</v>
      </c>
      <c r="M46">
        <v>0</v>
      </c>
      <c r="N46">
        <v>105</v>
      </c>
      <c r="O46">
        <f>(N46+1)/B46</f>
        <v>0.47111111111111109</v>
      </c>
      <c r="P46">
        <v>76608.025778511001</v>
      </c>
      <c r="Q46">
        <f>P46/F46</f>
        <v>1.4919917942262813</v>
      </c>
      <c r="R46">
        <v>1.11828090000199</v>
      </c>
      <c r="S46">
        <v>177</v>
      </c>
      <c r="T46">
        <f>(S46+1)/B46</f>
        <v>0.7911111111111111</v>
      </c>
      <c r="U46">
        <v>69569.600959573407</v>
      </c>
      <c r="V46">
        <f>U46/F46</f>
        <v>1.3549138318663747</v>
      </c>
      <c r="W46">
        <v>0.29887040000176002</v>
      </c>
      <c r="X46" t="str">
        <f>IF(H46=MIN(H46,P46,U46),"Christofides",IF(P46=MIN(H46,P46,U46),"Arithmetic Series","Nearest Neighbor"))</f>
        <v>Christofides</v>
      </c>
      <c r="Y46">
        <f>MIN(H46,P46,U46)</f>
        <v>67904.545114369495</v>
      </c>
      <c r="Z46">
        <f>Y46/F46</f>
        <v>1.3224857718461986</v>
      </c>
      <c r="AA46">
        <v>2432</v>
      </c>
      <c r="AB46">
        <v>4216</v>
      </c>
      <c r="AC46">
        <f>AA46/AB46</f>
        <v>0.57685009487666039</v>
      </c>
      <c r="AD46">
        <v>0</v>
      </c>
      <c r="AE46">
        <v>67904.545114369495</v>
      </c>
      <c r="AF46">
        <v>37</v>
      </c>
      <c r="AG46">
        <f>AF46/AB46</f>
        <v>8.7760910815939275E-3</v>
      </c>
      <c r="AH46" s="1">
        <v>2.91038304567337E-11</v>
      </c>
      <c r="AI46" s="4">
        <v>67904.545114369495</v>
      </c>
      <c r="AJ46" s="4">
        <v>37</v>
      </c>
      <c r="AK46" s="4">
        <f>AJ46/AB46</f>
        <v>8.7760910815939275E-3</v>
      </c>
      <c r="AL46">
        <v>66706.460299717699</v>
      </c>
      <c r="AM46">
        <f>AL46/F46</f>
        <v>1.2991522804256561</v>
      </c>
      <c r="AN46">
        <v>0.37850079999770903</v>
      </c>
      <c r="AO46">
        <v>0</v>
      </c>
      <c r="AP46">
        <f>AO46/10</f>
        <v>0</v>
      </c>
      <c r="AQ46">
        <v>67904.545114369495</v>
      </c>
      <c r="AR46">
        <f>AQ46/F46</f>
        <v>1.3224857718461986</v>
      </c>
      <c r="AS46">
        <v>10.5922768999589</v>
      </c>
      <c r="AT46">
        <v>41</v>
      </c>
      <c r="AU46">
        <f>AT46/100</f>
        <v>0.41</v>
      </c>
      <c r="AV46">
        <v>67678.684751721405</v>
      </c>
      <c r="AW46">
        <f>AV46/F46</f>
        <v>1.3180869924195338</v>
      </c>
      <c r="AX46">
        <v>7.0107366999727603</v>
      </c>
      <c r="AY46" t="str">
        <f>IF(AL46=MIN(AL46,AQ46,AV46),"Simulated Annealing",IF(AQ46=MIN(AL46,AQ46,AV46),"Ant Colony Optimization","Genetic Algorithm"))</f>
        <v>Simulated Annealing</v>
      </c>
      <c r="AZ46">
        <f>MIN(AL46,AQ46,AV46)</f>
        <v>66706.460299717699</v>
      </c>
      <c r="BA46">
        <f>AZ46/F46</f>
        <v>1.2991522804256561</v>
      </c>
      <c r="BB46">
        <v>59194.322289887103</v>
      </c>
      <c r="BC46">
        <f>BB46/F46</f>
        <v>1.1528484414497335</v>
      </c>
      <c r="BD46">
        <v>0.112</v>
      </c>
      <c r="BE46">
        <v>5</v>
      </c>
      <c r="BF46">
        <v>5</v>
      </c>
    </row>
    <row r="47" spans="1:58" x14ac:dyDescent="0.3">
      <c r="A47">
        <v>23</v>
      </c>
      <c r="B47">
        <v>230</v>
      </c>
      <c r="C47">
        <v>0.25057824848435301</v>
      </c>
      <c r="D47">
        <v>0.85621812367063399</v>
      </c>
      <c r="E47">
        <f>SQRT(D47)</f>
        <v>0.9253205518471066</v>
      </c>
      <c r="F47">
        <v>51586.225901071601</v>
      </c>
      <c r="G47">
        <v>1.19915800006128</v>
      </c>
      <c r="H47">
        <v>67830.207257581103</v>
      </c>
      <c r="I47">
        <f>H47/F47</f>
        <v>1.3148898969205667</v>
      </c>
      <c r="J47">
        <v>0.243988500005798</v>
      </c>
      <c r="K47">
        <v>348714.66809242702</v>
      </c>
      <c r="L47" t="s">
        <v>44</v>
      </c>
      <c r="M47">
        <v>0</v>
      </c>
      <c r="N47">
        <v>138</v>
      </c>
      <c r="O47">
        <f>(N47+1)/B47</f>
        <v>0.60434782608695647</v>
      </c>
      <c r="P47">
        <v>71441.997123837398</v>
      </c>
      <c r="Q47">
        <f>P47/F47</f>
        <v>1.3849045142562626</v>
      </c>
      <c r="R47">
        <v>1.19915800006128</v>
      </c>
      <c r="S47">
        <v>101</v>
      </c>
      <c r="T47">
        <f>(S47+1)/B47</f>
        <v>0.44347826086956521</v>
      </c>
      <c r="U47">
        <v>68293.381796522197</v>
      </c>
      <c r="V47">
        <f>U47/F47</f>
        <v>1.323868544434524</v>
      </c>
      <c r="W47">
        <v>0.32686150004155901</v>
      </c>
      <c r="X47" t="str">
        <f>IF(H47=MIN(H47,P47,U47),"Christofides",IF(P47=MIN(H47,P47,U47),"Arithmetic Series","Nearest Neighbor"))</f>
        <v>Christofides</v>
      </c>
      <c r="Y47">
        <f>MIN(H47,P47,U47)</f>
        <v>67830.207257581103</v>
      </c>
      <c r="Z47">
        <f>Y47/F47</f>
        <v>1.3148898969205667</v>
      </c>
      <c r="AA47">
        <v>4095</v>
      </c>
      <c r="AB47">
        <v>4218</v>
      </c>
      <c r="AC47">
        <f>AA47/AB47</f>
        <v>0.97083926031294454</v>
      </c>
      <c r="AD47">
        <v>0</v>
      </c>
      <c r="AE47">
        <v>67830.207257581103</v>
      </c>
      <c r="AF47">
        <v>17</v>
      </c>
      <c r="AG47">
        <f>AF47/AB47</f>
        <v>4.0303461356092935E-3</v>
      </c>
      <c r="AH47" s="1">
        <v>5.8207660913467401E-11</v>
      </c>
      <c r="AI47" s="4">
        <v>66944.151790915304</v>
      </c>
      <c r="AJ47" s="4">
        <v>2114</v>
      </c>
      <c r="AK47" s="4">
        <f>AJ47/AB47</f>
        <v>0.50118539592223799</v>
      </c>
      <c r="AL47">
        <v>66413.293056365001</v>
      </c>
      <c r="AM47">
        <f>AL47/F47</f>
        <v>1.2874229873634815</v>
      </c>
      <c r="AN47">
        <v>0.40135020000161598</v>
      </c>
      <c r="AO47">
        <v>0</v>
      </c>
      <c r="AP47">
        <f>AO47/10</f>
        <v>0</v>
      </c>
      <c r="AQ47">
        <v>67830.207257581103</v>
      </c>
      <c r="AR47">
        <f>AQ47/F47</f>
        <v>1.3148898969205667</v>
      </c>
      <c r="AS47">
        <v>13.382599000004101</v>
      </c>
      <c r="AT47">
        <v>6</v>
      </c>
      <c r="AU47">
        <f>AT47/100</f>
        <v>0.06</v>
      </c>
      <c r="AV47">
        <v>67819.575834703995</v>
      </c>
      <c r="AW47">
        <f>AV47/F47</f>
        <v>1.3146838065797557</v>
      </c>
      <c r="AX47">
        <v>8.8340365000040002</v>
      </c>
      <c r="AY47" t="str">
        <f>IF(AL47=MIN(AL47,AQ47,AV47),"Simulated Annealing",IF(AQ47=MIN(AL47,AQ47,AV47),"Ant Colony Optimization","Genetic Algorithm"))</f>
        <v>Simulated Annealing</v>
      </c>
      <c r="AZ47">
        <f>MIN(AL47,AQ47,AV47)</f>
        <v>66413.293056365001</v>
      </c>
      <c r="BA47">
        <f>AZ47/F47</f>
        <v>1.2874229873634815</v>
      </c>
      <c r="BB47">
        <v>60277.233372381597</v>
      </c>
      <c r="BC47">
        <f>BB47/F47</f>
        <v>1.1684753501443776</v>
      </c>
      <c r="BD47">
        <v>0.112</v>
      </c>
      <c r="BE47">
        <v>5</v>
      </c>
      <c r="BF47">
        <v>5.0940000000000003</v>
      </c>
    </row>
    <row r="48" spans="1:58" x14ac:dyDescent="0.3">
      <c r="A48">
        <v>84</v>
      </c>
      <c r="B48">
        <v>235</v>
      </c>
      <c r="C48">
        <v>0.241221992911024</v>
      </c>
      <c r="D48">
        <v>1.8250131594127399</v>
      </c>
      <c r="E48">
        <f>SQRT(D48)</f>
        <v>1.3509304791190182</v>
      </c>
      <c r="F48">
        <v>50894.622236066003</v>
      </c>
      <c r="G48">
        <v>1.22771159996045</v>
      </c>
      <c r="H48">
        <v>68336.619664550002</v>
      </c>
      <c r="I48">
        <f>H48/F48</f>
        <v>1.3427080634881674</v>
      </c>
      <c r="J48">
        <v>0.25557420001132403</v>
      </c>
      <c r="K48">
        <v>365785.04564412101</v>
      </c>
      <c r="L48" t="s">
        <v>44</v>
      </c>
      <c r="M48">
        <v>0</v>
      </c>
      <c r="N48">
        <v>210</v>
      </c>
      <c r="O48">
        <f>(N48+1)/B48</f>
        <v>0.89787234042553188</v>
      </c>
      <c r="P48">
        <v>70474.1410833626</v>
      </c>
      <c r="Q48">
        <f>P48/F48</f>
        <v>1.384707027718574</v>
      </c>
      <c r="R48">
        <v>1.22771159996045</v>
      </c>
      <c r="S48">
        <v>48</v>
      </c>
      <c r="T48">
        <f>(S48+1)/B48</f>
        <v>0.20851063829787234</v>
      </c>
      <c r="U48">
        <v>65640.4683208348</v>
      </c>
      <c r="V48">
        <f>U48/F48</f>
        <v>1.2897328919423492</v>
      </c>
      <c r="W48">
        <v>0.33231399999931399</v>
      </c>
      <c r="X48" t="str">
        <f>IF(H48=MIN(H48,P48,U48),"Christofides",IF(P48=MIN(H48,P48,U48),"Arithmetic Series","Nearest Neighbor"))</f>
        <v>Nearest Neighbor</v>
      </c>
      <c r="Y48">
        <f>MIN(H48,P48,U48)</f>
        <v>65640.4683208348</v>
      </c>
      <c r="Z48">
        <f>Y48/F48</f>
        <v>1.2897328919423492</v>
      </c>
      <c r="AA48">
        <v>4129</v>
      </c>
      <c r="AB48">
        <v>4220</v>
      </c>
      <c r="AC48">
        <f>AA48/AB48</f>
        <v>0.978436018957346</v>
      </c>
      <c r="AD48">
        <v>0</v>
      </c>
      <c r="AE48">
        <v>65368.612629568102</v>
      </c>
      <c r="AF48">
        <v>192</v>
      </c>
      <c r="AG48">
        <f>AF48/AB48</f>
        <v>4.5497630331753552E-2</v>
      </c>
      <c r="AH48" s="1">
        <v>8.7311491370201098E-11</v>
      </c>
      <c r="AI48" s="4">
        <v>65368.612629568102</v>
      </c>
      <c r="AJ48" s="4">
        <v>192</v>
      </c>
      <c r="AK48" s="4">
        <f>AJ48/AB48</f>
        <v>4.5497630331753552E-2</v>
      </c>
      <c r="AL48">
        <v>63870.090085100601</v>
      </c>
      <c r="AM48">
        <f>AL48/F48</f>
        <v>1.2549477190114529</v>
      </c>
      <c r="AN48">
        <v>0.388902699982281</v>
      </c>
      <c r="AO48">
        <v>4</v>
      </c>
      <c r="AP48">
        <f>AO48/10</f>
        <v>0.4</v>
      </c>
      <c r="AQ48">
        <v>65036.273590454803</v>
      </c>
      <c r="AR48">
        <f>AQ48/F48</f>
        <v>1.2778614072189232</v>
      </c>
      <c r="AS48">
        <v>11.5368193999747</v>
      </c>
      <c r="AT48">
        <v>0</v>
      </c>
      <c r="AU48">
        <f>AT48/100</f>
        <v>0</v>
      </c>
      <c r="AV48">
        <v>65640.4683208348</v>
      </c>
      <c r="AW48">
        <f>AV48/F48</f>
        <v>1.2897328919423492</v>
      </c>
      <c r="AX48">
        <v>7.7351837999885902</v>
      </c>
      <c r="AY48" t="str">
        <f>IF(AL48=MIN(AL48,AQ48,AV48),"Simulated Annealing",IF(AQ48=MIN(AL48,AQ48,AV48),"Ant Colony Optimization","Genetic Algorithm"))</f>
        <v>Simulated Annealing</v>
      </c>
      <c r="AZ48">
        <f>MIN(AL48,AQ48,AV48)</f>
        <v>63870.090085100601</v>
      </c>
      <c r="BA48">
        <f>AZ48/F48</f>
        <v>1.2549477190114529</v>
      </c>
      <c r="BB48">
        <v>58776.725632301197</v>
      </c>
      <c r="BC48">
        <f>BB48/F48</f>
        <v>1.1548710462900267</v>
      </c>
      <c r="BD48">
        <v>0.112</v>
      </c>
      <c r="BE48">
        <v>5</v>
      </c>
      <c r="BF48">
        <v>5</v>
      </c>
    </row>
    <row r="49" spans="1:58" x14ac:dyDescent="0.3">
      <c r="A49">
        <v>24</v>
      </c>
      <c r="B49">
        <v>240</v>
      </c>
      <c r="C49">
        <v>0.24018528820181001</v>
      </c>
      <c r="D49">
        <v>1.7531565072581601</v>
      </c>
      <c r="E49">
        <f>SQRT(D49)</f>
        <v>1.324068165638824</v>
      </c>
      <c r="F49">
        <v>53724.805976892298</v>
      </c>
      <c r="G49">
        <v>1.3672939999960301</v>
      </c>
      <c r="H49">
        <v>69586.045841019499</v>
      </c>
      <c r="I49">
        <f>H49/F49</f>
        <v>1.2952312172323026</v>
      </c>
      <c r="J49">
        <v>0.27593989999149898</v>
      </c>
      <c r="K49">
        <v>383293.19073297799</v>
      </c>
      <c r="L49" t="s">
        <v>44</v>
      </c>
      <c r="M49">
        <v>0</v>
      </c>
      <c r="N49">
        <v>53</v>
      </c>
      <c r="O49">
        <f>(N49+1)/B49</f>
        <v>0.22500000000000001</v>
      </c>
      <c r="P49">
        <v>71210.062010122099</v>
      </c>
      <c r="Q49">
        <f>P49/F49</f>
        <v>1.3254596403894028</v>
      </c>
      <c r="R49">
        <v>1.3672939999960301</v>
      </c>
      <c r="S49">
        <v>29</v>
      </c>
      <c r="T49">
        <f>(S49+1)/B49</f>
        <v>0.125</v>
      </c>
      <c r="U49">
        <v>68175.403572119001</v>
      </c>
      <c r="V49">
        <f>U49/F49</f>
        <v>1.2689744026519534</v>
      </c>
      <c r="W49">
        <v>0.36118290002923398</v>
      </c>
      <c r="X49" t="str">
        <f>IF(H49=MIN(H49,P49,U49),"Christofides",IF(P49=MIN(H49,P49,U49),"Arithmetic Series","Nearest Neighbor"))</f>
        <v>Nearest Neighbor</v>
      </c>
      <c r="Y49">
        <f>MIN(H49,P49,U49)</f>
        <v>68175.403572119001</v>
      </c>
      <c r="Z49">
        <f>Y49/F49</f>
        <v>1.2689744026519534</v>
      </c>
      <c r="AA49">
        <v>4123</v>
      </c>
      <c r="AB49">
        <v>4222</v>
      </c>
      <c r="AC49">
        <f>AA49/AB49</f>
        <v>0.97655139744197061</v>
      </c>
      <c r="AD49">
        <v>0</v>
      </c>
      <c r="AE49">
        <v>68158.012056533</v>
      </c>
      <c r="AF49">
        <v>603</v>
      </c>
      <c r="AG49">
        <f>AF49/AB49</f>
        <v>0.14282330648981525</v>
      </c>
      <c r="AH49" s="1">
        <v>2.91038304567337E-11</v>
      </c>
      <c r="AI49" s="4">
        <v>68158.012056533</v>
      </c>
      <c r="AJ49" s="4">
        <v>603</v>
      </c>
      <c r="AK49" s="4">
        <f>AJ49/AB49</f>
        <v>0.14282330648981525</v>
      </c>
      <c r="AL49">
        <v>67598.123227623393</v>
      </c>
      <c r="AM49">
        <f>AL49/F49</f>
        <v>1.2582292666947588</v>
      </c>
      <c r="AN49">
        <v>0.41038780000235398</v>
      </c>
      <c r="AO49">
        <v>5</v>
      </c>
      <c r="AP49">
        <f>AO49/10</f>
        <v>0.5</v>
      </c>
      <c r="AQ49">
        <v>68089.3240541103</v>
      </c>
      <c r="AR49">
        <f>AQ49/F49</f>
        <v>1.2673721722400701</v>
      </c>
      <c r="AS49">
        <v>15.3551791999925</v>
      </c>
      <c r="AT49">
        <v>0</v>
      </c>
      <c r="AU49">
        <f>AT49/100</f>
        <v>0</v>
      </c>
      <c r="AV49">
        <v>68175.403572119001</v>
      </c>
      <c r="AW49">
        <f>AV49/F49</f>
        <v>1.2689744026519534</v>
      </c>
      <c r="AX49">
        <v>9.3969128000026103</v>
      </c>
      <c r="AY49" t="str">
        <f>IF(AL49=MIN(AL49,AQ49,AV49),"Simulated Annealing",IF(AQ49=MIN(AL49,AQ49,AV49),"Ant Colony Optimization","Genetic Algorithm"))</f>
        <v>Simulated Annealing</v>
      </c>
      <c r="AZ49">
        <f>MIN(AL49,AQ49,AV49)</f>
        <v>67598.123227623393</v>
      </c>
      <c r="BA49">
        <f>AZ49/F49</f>
        <v>1.2582292666947588</v>
      </c>
      <c r="BB49">
        <v>61485.475340239303</v>
      </c>
      <c r="BC49">
        <f>BB49/F49</f>
        <v>1.1444522548240559</v>
      </c>
      <c r="BD49">
        <v>0.112</v>
      </c>
      <c r="BE49">
        <v>5</v>
      </c>
      <c r="BF49">
        <v>5.0179999999999998</v>
      </c>
    </row>
    <row r="50" spans="1:58" x14ac:dyDescent="0.3">
      <c r="A50">
        <v>85</v>
      </c>
      <c r="B50">
        <v>245</v>
      </c>
      <c r="C50">
        <v>0.22038943889415899</v>
      </c>
      <c r="D50">
        <v>1.0676457638680601</v>
      </c>
      <c r="E50">
        <f>SQRT(D50)</f>
        <v>1.0332694536605929</v>
      </c>
      <c r="F50">
        <v>52588.881297749002</v>
      </c>
      <c r="G50">
        <v>1.43246250000083</v>
      </c>
      <c r="H50">
        <v>69659.338660553796</v>
      </c>
      <c r="I50">
        <f>H50/F50</f>
        <v>1.3246020250203625</v>
      </c>
      <c r="J50">
        <v>0.29322570003569098</v>
      </c>
      <c r="K50">
        <v>401245.039556587</v>
      </c>
      <c r="L50" t="s">
        <v>44</v>
      </c>
      <c r="M50">
        <v>0</v>
      </c>
      <c r="N50">
        <v>115</v>
      </c>
      <c r="O50">
        <f>(N50+1)/B50</f>
        <v>0.47346938775510206</v>
      </c>
      <c r="P50">
        <v>77858.832577829104</v>
      </c>
      <c r="Q50">
        <f>P50/F50</f>
        <v>1.4805188978446999</v>
      </c>
      <c r="R50">
        <v>1.43246250000083</v>
      </c>
      <c r="S50">
        <v>96</v>
      </c>
      <c r="T50">
        <f>(S50+1)/B50</f>
        <v>0.39591836734693875</v>
      </c>
      <c r="U50">
        <v>67651.380244042593</v>
      </c>
      <c r="V50">
        <f>U50/F50</f>
        <v>1.2864198396047326</v>
      </c>
      <c r="W50">
        <v>0.38351729995338202</v>
      </c>
      <c r="X50" t="str">
        <f>IF(H50=MIN(H50,P50,U50),"Christofides",IF(P50=MIN(H50,P50,U50),"Arithmetic Series","Nearest Neighbor"))</f>
        <v>Nearest Neighbor</v>
      </c>
      <c r="Y50">
        <f>MIN(H50,P50,U50)</f>
        <v>67651.380244042593</v>
      </c>
      <c r="Z50">
        <f>Y50/F50</f>
        <v>1.2864198396047326</v>
      </c>
      <c r="AA50">
        <v>2932</v>
      </c>
      <c r="AB50">
        <v>4224</v>
      </c>
      <c r="AC50">
        <f>AA50/AB50</f>
        <v>0.69412878787878785</v>
      </c>
      <c r="AD50">
        <v>0</v>
      </c>
      <c r="AE50">
        <v>67651.380244042593</v>
      </c>
      <c r="AF50">
        <v>56</v>
      </c>
      <c r="AG50">
        <f>AF50/AB50</f>
        <v>1.3257575757575758E-2</v>
      </c>
      <c r="AH50" s="1">
        <v>8.7311491370201098E-11</v>
      </c>
      <c r="AI50" s="4">
        <v>66724.845805538003</v>
      </c>
      <c r="AJ50" s="4">
        <v>3786</v>
      </c>
      <c r="AK50" s="4">
        <f>AJ50/AB50</f>
        <v>0.89630681818181823</v>
      </c>
      <c r="AL50">
        <v>66724.845805538003</v>
      </c>
      <c r="AM50">
        <f>AL50/F50</f>
        <v>1.2688013922135681</v>
      </c>
      <c r="AN50">
        <v>0.43594840000150697</v>
      </c>
      <c r="AO50">
        <v>0</v>
      </c>
      <c r="AP50">
        <f>AO50/10</f>
        <v>0</v>
      </c>
      <c r="AQ50">
        <v>67651.380244042593</v>
      </c>
      <c r="AR50">
        <f>AQ50/F50</f>
        <v>1.2864198396047326</v>
      </c>
      <c r="AS50">
        <v>13.1102268000249</v>
      </c>
      <c r="AT50">
        <v>0</v>
      </c>
      <c r="AU50">
        <f>AT50/100</f>
        <v>0</v>
      </c>
      <c r="AV50">
        <v>67651.380244042593</v>
      </c>
      <c r="AW50">
        <f>AV50/F50</f>
        <v>1.2864198396047326</v>
      </c>
      <c r="AX50">
        <v>9.0317206999752599</v>
      </c>
      <c r="AY50" t="str">
        <f>IF(AL50=MIN(AL50,AQ50,AV50),"Simulated Annealing",IF(AQ50=MIN(AL50,AQ50,AV50),"Ant Colony Optimization","Genetic Algorithm"))</f>
        <v>Simulated Annealing</v>
      </c>
      <c r="AZ50">
        <f>MIN(AL50,AQ50,AV50)</f>
        <v>66724.845805538003</v>
      </c>
      <c r="BA50">
        <f>AZ50/F50</f>
        <v>1.2688013922135681</v>
      </c>
      <c r="BB50">
        <v>60122.0573940799</v>
      </c>
      <c r="BC50">
        <f>BB50/F50</f>
        <v>1.143246555363659</v>
      </c>
      <c r="BD50">
        <v>0.112</v>
      </c>
      <c r="BE50">
        <v>5</v>
      </c>
      <c r="BF50">
        <v>5</v>
      </c>
    </row>
    <row r="51" spans="1:58" x14ac:dyDescent="0.3">
      <c r="A51">
        <v>25</v>
      </c>
      <c r="B51">
        <v>250</v>
      </c>
      <c r="C51">
        <v>0.211434452952347</v>
      </c>
      <c r="D51">
        <v>0.82641329850886802</v>
      </c>
      <c r="E51">
        <f>SQRT(D51)</f>
        <v>0.90907276854433827</v>
      </c>
      <c r="F51">
        <v>53048.8619373818</v>
      </c>
      <c r="G51">
        <v>1.48175400006584</v>
      </c>
      <c r="H51">
        <v>68397.449780024195</v>
      </c>
      <c r="I51">
        <f>H51/F51</f>
        <v>1.2893292576334563</v>
      </c>
      <c r="J51">
        <v>0.305821499990997</v>
      </c>
      <c r="K51">
        <v>419646.25852371799</v>
      </c>
      <c r="L51" t="s">
        <v>44</v>
      </c>
      <c r="M51">
        <v>0</v>
      </c>
      <c r="N51">
        <v>20</v>
      </c>
      <c r="O51">
        <f>(N51+1)/B51</f>
        <v>8.4000000000000005E-2</v>
      </c>
      <c r="P51">
        <v>73682.912701610505</v>
      </c>
      <c r="Q51">
        <f>P51/F51</f>
        <v>1.3889631183527533</v>
      </c>
      <c r="R51">
        <v>1.48175400006584</v>
      </c>
      <c r="S51">
        <v>109</v>
      </c>
      <c r="T51">
        <f>(S51+1)/B51</f>
        <v>0.44</v>
      </c>
      <c r="U51">
        <v>69846.443428768602</v>
      </c>
      <c r="V51">
        <f>U51/F51</f>
        <v>1.3166435787296333</v>
      </c>
      <c r="W51">
        <v>0.39605510002002098</v>
      </c>
      <c r="X51" t="str">
        <f>IF(H51=MIN(H51,P51,U51),"Christofides",IF(P51=MIN(H51,P51,U51),"Arithmetic Series","Nearest Neighbor"))</f>
        <v>Christofides</v>
      </c>
      <c r="Y51">
        <f>MIN(H51,P51,U51)</f>
        <v>68397.449780024195</v>
      </c>
      <c r="Z51">
        <f>Y51/F51</f>
        <v>1.2893292576334563</v>
      </c>
      <c r="AA51">
        <v>3620</v>
      </c>
      <c r="AB51">
        <v>4226</v>
      </c>
      <c r="AC51">
        <f>AA51/AB51</f>
        <v>0.85660198769522011</v>
      </c>
      <c r="AD51">
        <v>0</v>
      </c>
      <c r="AE51">
        <v>68397.628351623804</v>
      </c>
      <c r="AF51">
        <v>22</v>
      </c>
      <c r="AG51">
        <f>AF51/AB51</f>
        <v>5.2058684335068621E-3</v>
      </c>
      <c r="AH51">
        <v>0.17857159960840299</v>
      </c>
      <c r="AI51" s="4">
        <v>68397.628351623804</v>
      </c>
      <c r="AJ51" s="4">
        <v>22</v>
      </c>
      <c r="AK51" s="4">
        <f>AJ51/AB51</f>
        <v>5.2058684335068621E-3</v>
      </c>
      <c r="AL51">
        <v>67637.326241661198</v>
      </c>
      <c r="AM51">
        <f>AL51/F51</f>
        <v>1.2750005140826477</v>
      </c>
      <c r="AN51">
        <v>0.44645070000842602</v>
      </c>
      <c r="AO51">
        <v>10</v>
      </c>
      <c r="AP51">
        <f>AO51/10</f>
        <v>1</v>
      </c>
      <c r="AQ51">
        <v>67585.872090075005</v>
      </c>
      <c r="AR51">
        <f>AQ51/F51</f>
        <v>1.2740305752431127</v>
      </c>
      <c r="AS51">
        <v>14.0627064</v>
      </c>
      <c r="AT51">
        <v>35</v>
      </c>
      <c r="AU51">
        <f>AT51/100</f>
        <v>0.35</v>
      </c>
      <c r="AV51">
        <v>68332.341693327806</v>
      </c>
      <c r="AW51">
        <f>AV51/F51</f>
        <v>1.2881019346651852</v>
      </c>
      <c r="AX51">
        <v>13.2988213999924</v>
      </c>
      <c r="AY51" t="str">
        <f>IF(AL51=MIN(AL51,AQ51,AV51),"Simulated Annealing",IF(AQ51=MIN(AL51,AQ51,AV51),"Ant Colony Optimization","Genetic Algorithm"))</f>
        <v>Ant Colony Optimization</v>
      </c>
      <c r="AZ51">
        <f>MIN(AL51,AQ51,AV51)</f>
        <v>67585.872090075005</v>
      </c>
      <c r="BA51">
        <f>AZ51/F51</f>
        <v>1.2740305752431127</v>
      </c>
      <c r="BB51">
        <v>62189.182831946498</v>
      </c>
      <c r="BC51">
        <f>BB51/F51</f>
        <v>1.1723000373759915</v>
      </c>
      <c r="BD51">
        <v>9.6000000000000002E-2</v>
      </c>
      <c r="BE51">
        <v>5</v>
      </c>
      <c r="BF51">
        <v>5.0279999999999996</v>
      </c>
    </row>
    <row r="52" spans="1:58" x14ac:dyDescent="0.3">
      <c r="A52">
        <v>86</v>
      </c>
      <c r="B52">
        <v>255</v>
      </c>
      <c r="C52">
        <v>0.205313258701081</v>
      </c>
      <c r="D52">
        <v>0.730362044255632</v>
      </c>
      <c r="E52">
        <f>SQRT(D52)</f>
        <v>0.85461221864400694</v>
      </c>
      <c r="F52">
        <v>54203.728630245903</v>
      </c>
      <c r="G52">
        <v>1.61036520003108</v>
      </c>
      <c r="H52">
        <v>68969.368961301094</v>
      </c>
      <c r="I52">
        <f>H52/F52</f>
        <v>1.2724100482418825</v>
      </c>
      <c r="J52">
        <v>0.34152319998247499</v>
      </c>
      <c r="K52">
        <v>438489.36987853202</v>
      </c>
      <c r="L52" t="s">
        <v>44</v>
      </c>
      <c r="M52">
        <v>0</v>
      </c>
      <c r="N52">
        <v>70</v>
      </c>
      <c r="O52">
        <f>(N52+1)/B52</f>
        <v>0.27843137254901962</v>
      </c>
      <c r="P52">
        <v>79419.237906480994</v>
      </c>
      <c r="Q52">
        <f>P52/F52</f>
        <v>1.4651987956076649</v>
      </c>
      <c r="R52">
        <v>1.61036520003108</v>
      </c>
      <c r="S52">
        <v>217</v>
      </c>
      <c r="T52">
        <f>(S52+1)/B52</f>
        <v>0.85490196078431369</v>
      </c>
      <c r="U52">
        <v>71862.318522301604</v>
      </c>
      <c r="V52">
        <f>U52/F52</f>
        <v>1.3257818297430213</v>
      </c>
      <c r="W52">
        <v>0.44914229999994798</v>
      </c>
      <c r="X52" t="str">
        <f>IF(H52=MIN(H52,P52,U52),"Christofides",IF(P52=MIN(H52,P52,U52),"Arithmetic Series","Nearest Neighbor"))</f>
        <v>Christofides</v>
      </c>
      <c r="Y52">
        <f>MIN(H52,P52,U52)</f>
        <v>68969.368961301094</v>
      </c>
      <c r="Z52">
        <f>Y52/F52</f>
        <v>1.2724100482418825</v>
      </c>
      <c r="AA52">
        <v>3884</v>
      </c>
      <c r="AB52">
        <v>4228</v>
      </c>
      <c r="AC52">
        <f>AA52/AB52</f>
        <v>0.91863765373699147</v>
      </c>
      <c r="AD52">
        <v>0</v>
      </c>
      <c r="AE52">
        <v>68325.703862918002</v>
      </c>
      <c r="AF52">
        <v>885</v>
      </c>
      <c r="AG52">
        <f>AF52/AB52</f>
        <v>0.20931882686849573</v>
      </c>
      <c r="AH52" s="1">
        <v>5.8207660913467401E-11</v>
      </c>
      <c r="AI52" s="4">
        <v>68029.796443665298</v>
      </c>
      <c r="AJ52" s="4">
        <v>2563</v>
      </c>
      <c r="AK52" s="4">
        <f>AJ52/AB52</f>
        <v>0.60619678334910121</v>
      </c>
      <c r="AL52">
        <v>67577.200335072601</v>
      </c>
      <c r="AM52">
        <f>AL52/F52</f>
        <v>1.2467260471333008</v>
      </c>
      <c r="AN52">
        <v>0.43635470001026899</v>
      </c>
      <c r="AO52">
        <v>1</v>
      </c>
      <c r="AP52">
        <f>AO52/10</f>
        <v>0.1</v>
      </c>
      <c r="AQ52">
        <v>68969.368961301006</v>
      </c>
      <c r="AR52">
        <f>AQ52/F52</f>
        <v>1.2724100482418808</v>
      </c>
      <c r="AS52">
        <v>14.373590199975199</v>
      </c>
      <c r="AT52">
        <v>47</v>
      </c>
      <c r="AU52">
        <f>AT52/100</f>
        <v>0.47</v>
      </c>
      <c r="AV52">
        <v>68767.330194017806</v>
      </c>
      <c r="AW52">
        <f>AV52/F52</f>
        <v>1.2686826521311554</v>
      </c>
      <c r="AX52">
        <v>9.9864739000331593</v>
      </c>
      <c r="AY52" t="str">
        <f>IF(AL52=MIN(AL52,AQ52,AV52),"Simulated Annealing",IF(AQ52=MIN(AL52,AQ52,AV52),"Ant Colony Optimization","Genetic Algorithm"))</f>
        <v>Simulated Annealing</v>
      </c>
      <c r="AZ52">
        <f>MIN(AL52,AQ52,AV52)</f>
        <v>67577.200335072601</v>
      </c>
      <c r="BA52">
        <f>AZ52/F52</f>
        <v>1.2467260471333008</v>
      </c>
      <c r="BB52">
        <v>62710.441913413299</v>
      </c>
      <c r="BC52">
        <f>BB52/F52</f>
        <v>1.1569396330868023</v>
      </c>
      <c r="BD52">
        <v>0.112</v>
      </c>
      <c r="BE52">
        <v>5</v>
      </c>
      <c r="BF52">
        <v>5</v>
      </c>
    </row>
    <row r="53" spans="1:58" x14ac:dyDescent="0.3">
      <c r="A53">
        <v>26</v>
      </c>
      <c r="B53">
        <v>260</v>
      </c>
      <c r="C53">
        <v>0.207115037857909</v>
      </c>
      <c r="D53">
        <v>1.9520437855955</v>
      </c>
      <c r="E53">
        <f>SQRT(D53)</f>
        <v>1.3971556053623733</v>
      </c>
      <c r="F53">
        <v>55561.064182655602</v>
      </c>
      <c r="G53">
        <v>1.6925889999838499</v>
      </c>
      <c r="H53">
        <v>70985.551640432197</v>
      </c>
      <c r="I53">
        <f>H53/F53</f>
        <v>1.2776132474185335</v>
      </c>
      <c r="J53">
        <v>6.6334499977528993E-2</v>
      </c>
      <c r="K53">
        <v>457779.11723777099</v>
      </c>
      <c r="L53" t="s">
        <v>44</v>
      </c>
      <c r="M53">
        <v>0</v>
      </c>
      <c r="N53">
        <v>42</v>
      </c>
      <c r="O53">
        <f>(N53+1)/B53</f>
        <v>0.16538461538461538</v>
      </c>
      <c r="P53">
        <v>78364.878433609498</v>
      </c>
      <c r="Q53">
        <f>P53/F53</f>
        <v>1.4104279604146337</v>
      </c>
      <c r="R53">
        <v>1.6925889999838499</v>
      </c>
      <c r="S53">
        <v>201</v>
      </c>
      <c r="T53">
        <f>(S53+1)/B53</f>
        <v>0.77692307692307694</v>
      </c>
      <c r="U53">
        <v>75416.752624141896</v>
      </c>
      <c r="V53">
        <f>U53/F53</f>
        <v>1.3573669571232692</v>
      </c>
      <c r="W53">
        <v>0.45655489992350301</v>
      </c>
      <c r="X53" t="str">
        <f>IF(H53=MIN(H53,P53,U53),"Christofides",IF(P53=MIN(H53,P53,U53),"Arithmetic Series","Nearest Neighbor"))</f>
        <v>Christofides</v>
      </c>
      <c r="Y53">
        <f>MIN(H53,P53,U53)</f>
        <v>70985.551640432197</v>
      </c>
      <c r="Z53">
        <f>Y53/F53</f>
        <v>1.2776132474185335</v>
      </c>
      <c r="AA53">
        <v>3439</v>
      </c>
      <c r="AB53">
        <v>4230</v>
      </c>
      <c r="AC53">
        <f>AA53/AB53</f>
        <v>0.81300236406619386</v>
      </c>
      <c r="AD53">
        <v>0</v>
      </c>
      <c r="AE53">
        <v>70815.895308883104</v>
      </c>
      <c r="AF53">
        <v>174</v>
      </c>
      <c r="AG53">
        <f>AF53/AB53</f>
        <v>4.1134751773049642E-2</v>
      </c>
      <c r="AH53" s="1">
        <v>7.2759576141834194E-11</v>
      </c>
      <c r="AI53" s="4">
        <v>70662.201674682306</v>
      </c>
      <c r="AJ53" s="4">
        <v>3056</v>
      </c>
      <c r="AK53" s="4">
        <f>AJ53/AB53</f>
        <v>0.72245862884160761</v>
      </c>
      <c r="AL53">
        <v>70347.6192091087</v>
      </c>
      <c r="AM53">
        <f>AL53/F53</f>
        <v>1.2661316021205546</v>
      </c>
      <c r="AN53">
        <v>0.477393400011351</v>
      </c>
      <c r="AO53">
        <v>1</v>
      </c>
      <c r="AP53">
        <f>AO53/10</f>
        <v>0.1</v>
      </c>
      <c r="AQ53">
        <v>70985.551640432197</v>
      </c>
      <c r="AR53">
        <f>AQ53/F53</f>
        <v>1.2776132474185335</v>
      </c>
      <c r="AS53">
        <v>19.210544999994401</v>
      </c>
      <c r="AT53">
        <v>68</v>
      </c>
      <c r="AU53">
        <f>AT53/100</f>
        <v>0.68</v>
      </c>
      <c r="AV53">
        <v>70859.771510998602</v>
      </c>
      <c r="AW53">
        <f>AV53/F53</f>
        <v>1.2753494295582404</v>
      </c>
      <c r="AX53">
        <v>12.2199097999982</v>
      </c>
      <c r="AY53" t="str">
        <f>IF(AL53=MIN(AL53,AQ53,AV53),"Simulated Annealing",IF(AQ53=MIN(AL53,AQ53,AV53),"Ant Colony Optimization","Genetic Algorithm"))</f>
        <v>Simulated Annealing</v>
      </c>
      <c r="AZ53">
        <f>MIN(AL53,AQ53,AV53)</f>
        <v>70347.6192091087</v>
      </c>
      <c r="BA53">
        <f>AZ53/F53</f>
        <v>1.2661316021205546</v>
      </c>
      <c r="BB53">
        <v>65230.111114810097</v>
      </c>
      <c r="BC53">
        <f>BB53/F53</f>
        <v>1.1740255892213969</v>
      </c>
      <c r="BD53">
        <v>9.6000000000000002E-2</v>
      </c>
      <c r="BE53">
        <v>5</v>
      </c>
      <c r="BF53">
        <v>5.0359999999999996</v>
      </c>
    </row>
    <row r="54" spans="1:58" x14ac:dyDescent="0.3">
      <c r="A54">
        <v>87</v>
      </c>
      <c r="B54">
        <v>265</v>
      </c>
      <c r="C54">
        <v>0.18472532833232699</v>
      </c>
      <c r="D54">
        <v>0.60971772811245895</v>
      </c>
      <c r="E54">
        <f>SQRT(D54)</f>
        <v>0.78084424062194313</v>
      </c>
      <c r="F54">
        <v>55822.462859261803</v>
      </c>
      <c r="G54">
        <v>1.7622323000105</v>
      </c>
      <c r="H54">
        <v>74713.084359933593</v>
      </c>
      <c r="I54">
        <f>H54/F54</f>
        <v>1.3384053754184646</v>
      </c>
      <c r="J54">
        <v>0.341413900023326</v>
      </c>
      <c r="K54">
        <v>477516.47866895399</v>
      </c>
      <c r="L54" t="s">
        <v>44</v>
      </c>
      <c r="M54">
        <v>0</v>
      </c>
      <c r="N54">
        <v>28</v>
      </c>
      <c r="O54">
        <f>(N54+1)/B54</f>
        <v>0.10943396226415095</v>
      </c>
      <c r="P54">
        <v>80033.042700794002</v>
      </c>
      <c r="Q54">
        <f>P54/F54</f>
        <v>1.4337067660839564</v>
      </c>
      <c r="R54">
        <v>1.7622323000105</v>
      </c>
      <c r="S54">
        <v>153</v>
      </c>
      <c r="T54">
        <f>(S54+1)/B54</f>
        <v>0.5811320754716981</v>
      </c>
      <c r="U54">
        <v>73500.133682050495</v>
      </c>
      <c r="V54">
        <f>U54/F54</f>
        <v>1.3166766551908897</v>
      </c>
      <c r="W54">
        <v>0.49579209997318602</v>
      </c>
      <c r="X54" t="str">
        <f>IF(H54=MIN(H54,P54,U54),"Christofides",IF(P54=MIN(H54,P54,U54),"Arithmetic Series","Nearest Neighbor"))</f>
        <v>Nearest Neighbor</v>
      </c>
      <c r="Y54">
        <f>MIN(H54,P54,U54)</f>
        <v>73500.133682050495</v>
      </c>
      <c r="Z54">
        <f>Y54/F54</f>
        <v>1.3166766551908897</v>
      </c>
      <c r="AA54">
        <v>3987</v>
      </c>
      <c r="AB54">
        <v>4232</v>
      </c>
      <c r="AC54">
        <f>AA54/AB54</f>
        <v>0.94210775047258977</v>
      </c>
      <c r="AD54">
        <v>0</v>
      </c>
      <c r="AE54">
        <v>73482.638384578197</v>
      </c>
      <c r="AF54">
        <v>167</v>
      </c>
      <c r="AG54">
        <f>AF54/AB54</f>
        <v>3.9461247637051042E-2</v>
      </c>
      <c r="AH54" s="1">
        <v>4.3655745685100497E-11</v>
      </c>
      <c r="AI54" s="4">
        <v>72319.7584574785</v>
      </c>
      <c r="AJ54" s="4">
        <v>1405</v>
      </c>
      <c r="AK54" s="4">
        <f>AJ54/AB54</f>
        <v>0.33199432892249525</v>
      </c>
      <c r="AL54">
        <v>71840.423132168697</v>
      </c>
      <c r="AM54">
        <f>AL54/F54</f>
        <v>1.2869447074252345</v>
      </c>
      <c r="AN54">
        <v>0.46594360005110502</v>
      </c>
      <c r="AO54">
        <v>7</v>
      </c>
      <c r="AP54">
        <f>AO54/10</f>
        <v>0.7</v>
      </c>
      <c r="AQ54">
        <v>70678.441949807195</v>
      </c>
      <c r="AR54">
        <f>AQ54/F54</f>
        <v>1.2661290514537116</v>
      </c>
      <c r="AS54">
        <v>15.8439128000172</v>
      </c>
      <c r="AT54">
        <v>19</v>
      </c>
      <c r="AU54">
        <f>AT54/100</f>
        <v>0.19</v>
      </c>
      <c r="AV54">
        <v>73364.054758264203</v>
      </c>
      <c r="AW54">
        <f>AV54/F54</f>
        <v>1.3142389461251078</v>
      </c>
      <c r="AX54">
        <v>11.172221000015201</v>
      </c>
      <c r="AY54" t="str">
        <f>IF(AL54=MIN(AL54,AQ54,AV54),"Simulated Annealing",IF(AQ54=MIN(AL54,AQ54,AV54),"Ant Colony Optimization","Genetic Algorithm"))</f>
        <v>Ant Colony Optimization</v>
      </c>
      <c r="AZ54">
        <f>MIN(AL54,AQ54,AV54)</f>
        <v>70678.441949807195</v>
      </c>
      <c r="BA54">
        <f>AZ54/F54</f>
        <v>1.2661290514537116</v>
      </c>
      <c r="BB54">
        <v>64947.490005874497</v>
      </c>
      <c r="BC54">
        <f>BB54/F54</f>
        <v>1.1634651478853322</v>
      </c>
      <c r="BD54">
        <v>0.112</v>
      </c>
      <c r="BE54">
        <v>5</v>
      </c>
      <c r="BF54">
        <v>5</v>
      </c>
    </row>
    <row r="55" spans="1:58" x14ac:dyDescent="0.3">
      <c r="A55">
        <v>27</v>
      </c>
      <c r="B55">
        <v>270</v>
      </c>
      <c r="C55">
        <v>0.181906307622866</v>
      </c>
      <c r="D55">
        <v>0.773182190366273</v>
      </c>
      <c r="E55">
        <f>SQRT(D55)</f>
        <v>0.8793077904614931</v>
      </c>
      <c r="F55">
        <v>54353.818277426501</v>
      </c>
      <c r="G55">
        <v>1.91204179998021</v>
      </c>
      <c r="H55">
        <v>69820.231133731897</v>
      </c>
      <c r="I55">
        <f>H55/F55</f>
        <v>1.2845506230558359</v>
      </c>
      <c r="J55">
        <v>0.380426600007922</v>
      </c>
      <c r="K55">
        <v>497702.84709226398</v>
      </c>
      <c r="L55" t="s">
        <v>44</v>
      </c>
      <c r="M55">
        <v>0</v>
      </c>
      <c r="N55">
        <v>143</v>
      </c>
      <c r="O55">
        <f>(N55+1)/B55</f>
        <v>0.53333333333333333</v>
      </c>
      <c r="P55">
        <v>71822.181131311198</v>
      </c>
      <c r="Q55">
        <f>P55/F55</f>
        <v>1.3213824420710369</v>
      </c>
      <c r="R55">
        <v>1.91204179998021</v>
      </c>
      <c r="S55">
        <v>89</v>
      </c>
      <c r="T55">
        <f>(S55+1)/B55</f>
        <v>0.33333333333333331</v>
      </c>
      <c r="U55">
        <v>70031.019713711095</v>
      </c>
      <c r="V55">
        <f>U55/F55</f>
        <v>1.288428705344431</v>
      </c>
      <c r="W55">
        <v>0.53528329997789104</v>
      </c>
      <c r="X55" t="str">
        <f>IF(H55=MIN(H55,P55,U55),"Christofides",IF(P55=MIN(H55,P55,U55),"Arithmetic Series","Nearest Neighbor"))</f>
        <v>Christofides</v>
      </c>
      <c r="Y55">
        <f>MIN(H55,P55,U55)</f>
        <v>69820.231133731897</v>
      </c>
      <c r="Z55">
        <f>Y55/F55</f>
        <v>1.2845506230558359</v>
      </c>
      <c r="AA55">
        <v>4204</v>
      </c>
      <c r="AB55">
        <v>4234</v>
      </c>
      <c r="AC55">
        <f>AA55/AB55</f>
        <v>0.99291450165328299</v>
      </c>
      <c r="AD55">
        <v>0</v>
      </c>
      <c r="AE55">
        <v>69820.231133731897</v>
      </c>
      <c r="AF55">
        <v>179</v>
      </c>
      <c r="AG55">
        <f>AF55/AB55</f>
        <v>4.2276806802078411E-2</v>
      </c>
      <c r="AH55" s="1">
        <v>4.3655745685100497E-11</v>
      </c>
      <c r="AI55" s="4">
        <v>69769.824224237906</v>
      </c>
      <c r="AJ55" s="4">
        <v>867</v>
      </c>
      <c r="AK55" s="4">
        <f>AJ55/AB55</f>
        <v>0.20477090222012281</v>
      </c>
      <c r="AL55">
        <v>69164.672079149503</v>
      </c>
      <c r="AM55">
        <f>AL55/F55</f>
        <v>1.272489666248048</v>
      </c>
      <c r="AN55">
        <v>0.47972419999132399</v>
      </c>
      <c r="AO55">
        <v>6</v>
      </c>
      <c r="AP55">
        <f>AO55/10</f>
        <v>0.6</v>
      </c>
      <c r="AQ55">
        <v>69619.443415150105</v>
      </c>
      <c r="AR55">
        <f>AQ55/F55</f>
        <v>1.2808565363302824</v>
      </c>
      <c r="AS55">
        <v>16.880906899997999</v>
      </c>
      <c r="AT55">
        <v>91</v>
      </c>
      <c r="AU55">
        <f>AT55/100</f>
        <v>0.91</v>
      </c>
      <c r="AV55">
        <v>69645.821301442294</v>
      </c>
      <c r="AW55">
        <f>AV55/F55</f>
        <v>1.281341835930718</v>
      </c>
      <c r="AX55">
        <v>11.671833100001001</v>
      </c>
      <c r="AY55" t="str">
        <f>IF(AL55=MIN(AL55,AQ55,AV55),"Simulated Annealing",IF(AQ55=MIN(AL55,AQ55,AV55),"Ant Colony Optimization","Genetic Algorithm"))</f>
        <v>Simulated Annealing</v>
      </c>
      <c r="AZ55">
        <f>MIN(AL55,AQ55,AV55)</f>
        <v>69164.672079149503</v>
      </c>
      <c r="BA55">
        <f>AZ55/F55</f>
        <v>1.272489666248048</v>
      </c>
      <c r="BB55">
        <v>62454.330398430502</v>
      </c>
      <c r="BC55">
        <f>BB55/F55</f>
        <v>1.1490329911995933</v>
      </c>
      <c r="BD55">
        <v>0.112</v>
      </c>
      <c r="BE55">
        <v>5</v>
      </c>
      <c r="BF55">
        <v>5.0999999999999996</v>
      </c>
    </row>
    <row r="56" spans="1:58" x14ac:dyDescent="0.3">
      <c r="A56">
        <v>88</v>
      </c>
      <c r="B56">
        <v>275</v>
      </c>
      <c r="C56">
        <v>0.17515689794873401</v>
      </c>
      <c r="D56">
        <v>0.69184504595249097</v>
      </c>
      <c r="E56">
        <f>SQRT(D56)</f>
        <v>0.831772232015767</v>
      </c>
      <c r="F56">
        <v>56835.783933647501</v>
      </c>
      <c r="G56">
        <v>2.0576492000254798</v>
      </c>
      <c r="H56">
        <v>75270.015535526007</v>
      </c>
      <c r="I56">
        <f>H56/F56</f>
        <v>1.3243419959404343</v>
      </c>
      <c r="J56">
        <v>0.41148539999266998</v>
      </c>
      <c r="K56">
        <v>518340.07306316</v>
      </c>
      <c r="L56" t="s">
        <v>44</v>
      </c>
      <c r="M56">
        <v>0</v>
      </c>
      <c r="N56">
        <v>200</v>
      </c>
      <c r="O56">
        <f>(N56+1)/B56</f>
        <v>0.73090909090909095</v>
      </c>
      <c r="P56">
        <v>79608.547148281199</v>
      </c>
      <c r="Q56">
        <f>P56/F56</f>
        <v>1.4006765041055753</v>
      </c>
      <c r="R56">
        <v>2.0576492000254798</v>
      </c>
      <c r="S56">
        <v>53</v>
      </c>
      <c r="T56">
        <f>(S56+1)/B56</f>
        <v>0.19636363636363635</v>
      </c>
      <c r="U56">
        <v>75337.715540281206</v>
      </c>
      <c r="V56">
        <f>U56/F56</f>
        <v>1.3255331470088219</v>
      </c>
      <c r="W56">
        <v>0.57863649999489997</v>
      </c>
      <c r="X56" t="str">
        <f>IF(H56=MIN(H56,P56,U56),"Christofides",IF(P56=MIN(H56,P56,U56),"Arithmetic Series","Nearest Neighbor"))</f>
        <v>Christofides</v>
      </c>
      <c r="Y56">
        <f>MIN(H56,P56,U56)</f>
        <v>75270.015535526007</v>
      </c>
      <c r="Z56">
        <f>Y56/F56</f>
        <v>1.3243419959404343</v>
      </c>
      <c r="AA56">
        <v>3733</v>
      </c>
      <c r="AB56">
        <v>4236</v>
      </c>
      <c r="AC56">
        <f>AA56/AB56</f>
        <v>0.88125590179414537</v>
      </c>
      <c r="AD56">
        <v>0</v>
      </c>
      <c r="AE56">
        <v>75270.015535526007</v>
      </c>
      <c r="AF56">
        <v>77</v>
      </c>
      <c r="AG56">
        <f>AF56/AB56</f>
        <v>1.817752596789424E-2</v>
      </c>
      <c r="AH56" s="1">
        <v>1.16415321826934E-10</v>
      </c>
      <c r="AI56" s="4">
        <v>74608.267427258994</v>
      </c>
      <c r="AJ56" s="4">
        <v>3105</v>
      </c>
      <c r="AK56" s="4">
        <f>AJ56/AB56</f>
        <v>0.73300283286118983</v>
      </c>
      <c r="AL56">
        <v>74434.320759791706</v>
      </c>
      <c r="AM56">
        <f>AL56/F56</f>
        <v>1.3096383230446769</v>
      </c>
      <c r="AN56">
        <v>0.48587859998224298</v>
      </c>
      <c r="AO56">
        <v>7</v>
      </c>
      <c r="AP56">
        <f>AO56/10</f>
        <v>0.7</v>
      </c>
      <c r="AQ56">
        <v>72623.845938974104</v>
      </c>
      <c r="AR56">
        <f>AQ56/F56</f>
        <v>1.2777838346306309</v>
      </c>
      <c r="AS56">
        <v>17.7211607999634</v>
      </c>
      <c r="AT56">
        <v>89</v>
      </c>
      <c r="AU56">
        <f>AT56/100</f>
        <v>0.89</v>
      </c>
      <c r="AV56">
        <v>75147.713297011403</v>
      </c>
      <c r="AW56">
        <f>AV56/F56</f>
        <v>1.3221901431806065</v>
      </c>
      <c r="AX56">
        <v>12.3331248000031</v>
      </c>
      <c r="AY56" t="str">
        <f>IF(AL56=MIN(AL56,AQ56,AV56),"Simulated Annealing",IF(AQ56=MIN(AL56,AQ56,AV56),"Ant Colony Optimization","Genetic Algorithm"))</f>
        <v>Ant Colony Optimization</v>
      </c>
      <c r="AZ56">
        <f>MIN(AL56,AQ56,AV56)</f>
        <v>72623.845938974104</v>
      </c>
      <c r="BA56">
        <f>AZ56/F56</f>
        <v>1.2777838346306309</v>
      </c>
      <c r="BB56">
        <v>66068.092335493304</v>
      </c>
      <c r="BC56">
        <f>BB56/F56</f>
        <v>1.1624383049352145</v>
      </c>
      <c r="BD56">
        <v>0.112</v>
      </c>
      <c r="BE56">
        <v>5</v>
      </c>
      <c r="BF56">
        <v>5</v>
      </c>
    </row>
    <row r="57" spans="1:58" x14ac:dyDescent="0.3">
      <c r="A57">
        <v>28</v>
      </c>
      <c r="B57">
        <v>280</v>
      </c>
      <c r="C57">
        <v>0.175327107904651</v>
      </c>
      <c r="D57">
        <v>1.53713626876765</v>
      </c>
      <c r="E57">
        <f>SQRT(D57)</f>
        <v>1.2398129974990786</v>
      </c>
      <c r="F57">
        <v>55448.120396483697</v>
      </c>
      <c r="G57">
        <v>2.1720479000359698</v>
      </c>
      <c r="H57">
        <v>71287.393085201504</v>
      </c>
      <c r="I57">
        <f>H57/F57</f>
        <v>1.2856593257888371</v>
      </c>
      <c r="J57">
        <v>0.36994689999846703</v>
      </c>
      <c r="K57">
        <v>539428.99844833696</v>
      </c>
      <c r="L57" t="s">
        <v>44</v>
      </c>
      <c r="M57">
        <v>0</v>
      </c>
      <c r="N57">
        <v>128</v>
      </c>
      <c r="O57">
        <f>(N57+1)/B57</f>
        <v>0.46071428571428569</v>
      </c>
      <c r="P57">
        <v>77703.822040927495</v>
      </c>
      <c r="Q57">
        <f>P57/F57</f>
        <v>1.4013788291704685</v>
      </c>
      <c r="R57">
        <v>2.1720479000359698</v>
      </c>
      <c r="S57">
        <v>134</v>
      </c>
      <c r="T57">
        <f>(S57+1)/B57</f>
        <v>0.48214285714285715</v>
      </c>
      <c r="U57">
        <v>72108.218517232497</v>
      </c>
      <c r="V57">
        <f>U57/F57</f>
        <v>1.300462811031649</v>
      </c>
      <c r="W57">
        <v>0.58658670005388502</v>
      </c>
      <c r="X57" t="str">
        <f>IF(H57=MIN(H57,P57,U57),"Christofides",IF(P57=MIN(H57,P57,U57),"Arithmetic Series","Nearest Neighbor"))</f>
        <v>Christofides</v>
      </c>
      <c r="Y57">
        <f>MIN(H57,P57,U57)</f>
        <v>71287.393085201504</v>
      </c>
      <c r="Z57">
        <f>Y57/F57</f>
        <v>1.2856593257888371</v>
      </c>
      <c r="AA57">
        <v>3069</v>
      </c>
      <c r="AB57">
        <v>4237</v>
      </c>
      <c r="AC57">
        <f>AA57/AB57</f>
        <v>0.72433325466131693</v>
      </c>
      <c r="AD57">
        <v>0</v>
      </c>
      <c r="AE57">
        <v>71287.393085201504</v>
      </c>
      <c r="AF57">
        <v>97</v>
      </c>
      <c r="AG57">
        <f>AF57/AB57</f>
        <v>2.2893556761859807E-2</v>
      </c>
      <c r="AH57" s="1">
        <v>2.91038304567337E-11</v>
      </c>
      <c r="AI57" s="4">
        <v>70910.605722393404</v>
      </c>
      <c r="AJ57" s="4">
        <v>1219</v>
      </c>
      <c r="AK57" s="4">
        <f>AJ57/AB57</f>
        <v>0.2877035638423413</v>
      </c>
      <c r="AL57">
        <v>70629.728184810199</v>
      </c>
      <c r="AM57">
        <f>AL57/F57</f>
        <v>1.2737984205735</v>
      </c>
      <c r="AN57">
        <v>0.50981260000844397</v>
      </c>
      <c r="AO57">
        <v>0</v>
      </c>
      <c r="AP57">
        <f>AO57/10</f>
        <v>0</v>
      </c>
      <c r="AQ57">
        <v>71287.393085201504</v>
      </c>
      <c r="AR57">
        <f>AQ57/F57</f>
        <v>1.2856593257888371</v>
      </c>
      <c r="AS57">
        <v>27.5665162999939</v>
      </c>
      <c r="AT57">
        <v>90</v>
      </c>
      <c r="AU57">
        <f>AT57/100</f>
        <v>0.9</v>
      </c>
      <c r="AV57">
        <v>71261.022921592798</v>
      </c>
      <c r="AW57">
        <f>AV57/F57</f>
        <v>1.2851837431465376</v>
      </c>
      <c r="AX57">
        <v>13.2755886000086</v>
      </c>
      <c r="AY57" t="str">
        <f>IF(AL57=MIN(AL57,AQ57,AV57),"Simulated Annealing",IF(AQ57=MIN(AL57,AQ57,AV57),"Ant Colony Optimization","Genetic Algorithm"))</f>
        <v>Simulated Annealing</v>
      </c>
      <c r="AZ57">
        <f>MIN(AL57,AQ57,AV57)</f>
        <v>70629.728184810199</v>
      </c>
      <c r="BA57">
        <f>AZ57/F57</f>
        <v>1.2737984205735</v>
      </c>
      <c r="BB57">
        <v>65112.540262700997</v>
      </c>
      <c r="BC57">
        <f>BB57/F57</f>
        <v>1.1742966181199928</v>
      </c>
      <c r="BD57">
        <v>0.112</v>
      </c>
      <c r="BE57">
        <v>5</v>
      </c>
      <c r="BF57">
        <v>5.0979999999999999</v>
      </c>
    </row>
    <row r="58" spans="1:58" x14ac:dyDescent="0.3">
      <c r="A58">
        <v>89</v>
      </c>
      <c r="B58">
        <v>285</v>
      </c>
      <c r="C58">
        <v>0.161642231973644</v>
      </c>
      <c r="D58">
        <v>0.48127104740231602</v>
      </c>
      <c r="E58">
        <f>SQRT(D58)</f>
        <v>0.69373701602431159</v>
      </c>
      <c r="F58">
        <v>55752.923744865402</v>
      </c>
      <c r="G58">
        <v>2.25570849998621</v>
      </c>
      <c r="H58">
        <v>72672.148348504401</v>
      </c>
      <c r="I58">
        <f>H58/F58</f>
        <v>1.3034679343645577</v>
      </c>
      <c r="J58">
        <v>0.42060760001186198</v>
      </c>
      <c r="K58">
        <v>560973.34308218397</v>
      </c>
      <c r="L58" t="s">
        <v>44</v>
      </c>
      <c r="M58">
        <v>0</v>
      </c>
      <c r="N58">
        <v>232</v>
      </c>
      <c r="O58">
        <f>(N58+1)/B58</f>
        <v>0.81754385964912279</v>
      </c>
      <c r="P58">
        <v>80862.433995304105</v>
      </c>
      <c r="Q58">
        <f>P58/F58</f>
        <v>1.4503711834978192</v>
      </c>
      <c r="R58">
        <v>2.25570849998621</v>
      </c>
      <c r="S58">
        <v>69</v>
      </c>
      <c r="T58">
        <f>(S58+1)/B58</f>
        <v>0.24561403508771928</v>
      </c>
      <c r="U58">
        <v>77483.066170944701</v>
      </c>
      <c r="V58">
        <f>U58/F58</f>
        <v>1.3897578990748543</v>
      </c>
      <c r="W58">
        <v>0.62069339997833595</v>
      </c>
      <c r="X58" t="str">
        <f>IF(H58=MIN(H58,P58,U58),"Christofides",IF(P58=MIN(H58,P58,U58),"Arithmetic Series","Nearest Neighbor"))</f>
        <v>Christofides</v>
      </c>
      <c r="Y58">
        <f>MIN(H58,P58,U58)</f>
        <v>72672.148348504401</v>
      </c>
      <c r="Z58">
        <f>Y58/F58</f>
        <v>1.3034679343645577</v>
      </c>
      <c r="AA58">
        <v>3510</v>
      </c>
      <c r="AB58">
        <v>4239</v>
      </c>
      <c r="AC58">
        <f>AA58/AB58</f>
        <v>0.82802547770700641</v>
      </c>
      <c r="AD58">
        <v>0</v>
      </c>
      <c r="AE58">
        <v>72531.256133492498</v>
      </c>
      <c r="AF58">
        <v>1177</v>
      </c>
      <c r="AG58">
        <f>AF58/AB58</f>
        <v>0.27765982543052609</v>
      </c>
      <c r="AH58" s="1">
        <v>7.2759576141834194E-11</v>
      </c>
      <c r="AI58" s="4">
        <v>72441.872758270707</v>
      </c>
      <c r="AJ58" s="4">
        <v>2186</v>
      </c>
      <c r="AK58" s="4">
        <f>AJ58/AB58</f>
        <v>0.51568766218447748</v>
      </c>
      <c r="AL58">
        <v>72426.999820283003</v>
      </c>
      <c r="AM58">
        <f>AL58/F58</f>
        <v>1.2990708819455088</v>
      </c>
      <c r="AN58">
        <v>0.50678519997745697</v>
      </c>
      <c r="AO58">
        <v>0</v>
      </c>
      <c r="AP58">
        <f>AO58/10</f>
        <v>0</v>
      </c>
      <c r="AQ58">
        <v>72672.148348504401</v>
      </c>
      <c r="AR58">
        <f>AQ58/F58</f>
        <v>1.3034679343645577</v>
      </c>
      <c r="AS58">
        <v>19.329385099990699</v>
      </c>
      <c r="AT58">
        <v>73</v>
      </c>
      <c r="AU58">
        <f>AT58/100</f>
        <v>0.73</v>
      </c>
      <c r="AV58">
        <v>72606.076031830104</v>
      </c>
      <c r="AW58">
        <f>AV58/F58</f>
        <v>1.3022828428530047</v>
      </c>
      <c r="AX58">
        <v>13.8445527000003</v>
      </c>
      <c r="AY58" t="str">
        <f>IF(AL58=MIN(AL58,AQ58,AV58),"Simulated Annealing",IF(AQ58=MIN(AL58,AQ58,AV58),"Ant Colony Optimization","Genetic Algorithm"))</f>
        <v>Simulated Annealing</v>
      </c>
      <c r="AZ58">
        <f>MIN(AL58,AQ58,AV58)</f>
        <v>72426.999820283003</v>
      </c>
      <c r="BA58">
        <f>AZ58/F58</f>
        <v>1.2990708819455088</v>
      </c>
      <c r="BB58">
        <v>65700.565822382094</v>
      </c>
      <c r="BC58">
        <f>BB58/F58</f>
        <v>1.1784236845235014</v>
      </c>
      <c r="BD58">
        <v>0.112</v>
      </c>
      <c r="BE58">
        <v>5</v>
      </c>
      <c r="BF58">
        <v>5</v>
      </c>
    </row>
    <row r="59" spans="1:58" x14ac:dyDescent="0.3">
      <c r="A59">
        <v>29</v>
      </c>
      <c r="B59">
        <v>290</v>
      </c>
      <c r="C59">
        <v>0.16033620961627901</v>
      </c>
      <c r="D59">
        <v>0.51190432435690703</v>
      </c>
      <c r="E59">
        <f>SQRT(D59)</f>
        <v>0.71547489428833699</v>
      </c>
      <c r="F59">
        <v>57973.428910387898</v>
      </c>
      <c r="G59">
        <v>2.5153357000090102</v>
      </c>
      <c r="H59">
        <v>74375.741103074601</v>
      </c>
      <c r="I59">
        <f>H59/F59</f>
        <v>1.2829281017350291</v>
      </c>
      <c r="J59">
        <v>0.41306239999539601</v>
      </c>
      <c r="K59">
        <v>582973.16734337097</v>
      </c>
      <c r="L59" t="s">
        <v>44</v>
      </c>
      <c r="M59">
        <v>1</v>
      </c>
      <c r="N59">
        <v>129</v>
      </c>
      <c r="O59">
        <f>(N59+1)/B59</f>
        <v>0.44827586206896552</v>
      </c>
      <c r="P59">
        <v>82813.121515496794</v>
      </c>
      <c r="Q59">
        <f>P59/F59</f>
        <v>1.4284668523489392</v>
      </c>
      <c r="R59">
        <v>2.5153357000090102</v>
      </c>
      <c r="S59">
        <v>197</v>
      </c>
      <c r="T59">
        <f>(S59+1)/B59</f>
        <v>0.6827586206896552</v>
      </c>
      <c r="U59">
        <v>77461.366727972898</v>
      </c>
      <c r="V59">
        <f>U59/F59</f>
        <v>1.3361529270195207</v>
      </c>
      <c r="W59">
        <v>0.65488970000296798</v>
      </c>
      <c r="X59" t="str">
        <f>IF(H59=MIN(H59,P59,U59),"Christofides",IF(P59=MIN(H59,P59,U59),"Arithmetic Series","Nearest Neighbor"))</f>
        <v>Christofides</v>
      </c>
      <c r="Y59">
        <f>MIN(H59,P59,U59)</f>
        <v>74375.741103074601</v>
      </c>
      <c r="Z59">
        <f>Y59/F59</f>
        <v>1.2829281017350291</v>
      </c>
      <c r="AA59">
        <v>4132</v>
      </c>
      <c r="AB59">
        <v>4241</v>
      </c>
      <c r="AC59">
        <f>AA59/AB59</f>
        <v>0.9742985145012969</v>
      </c>
      <c r="AD59">
        <v>0</v>
      </c>
      <c r="AE59">
        <v>74027.486455111706</v>
      </c>
      <c r="AF59">
        <v>57</v>
      </c>
      <c r="AG59">
        <f>AF59/AB59</f>
        <v>1.3440226361707145E-2</v>
      </c>
      <c r="AH59">
        <v>0.19132662341871701</v>
      </c>
      <c r="AI59" s="4">
        <v>74027.677781735096</v>
      </c>
      <c r="AJ59" s="4">
        <v>80</v>
      </c>
      <c r="AK59" s="4">
        <f>AJ59/AB59</f>
        <v>1.8863475595378449E-2</v>
      </c>
      <c r="AL59">
        <v>73415.252200962204</v>
      </c>
      <c r="AM59">
        <f>AL59/F59</f>
        <v>1.2663603581986398</v>
      </c>
      <c r="AN59">
        <v>0.52600579999852903</v>
      </c>
      <c r="AO59">
        <v>0</v>
      </c>
      <c r="AP59">
        <f>AO59/10</f>
        <v>0</v>
      </c>
      <c r="AQ59">
        <v>74375.741103074601</v>
      </c>
      <c r="AR59">
        <f>AQ59/F59</f>
        <v>1.2829281017350291</v>
      </c>
      <c r="AS59">
        <v>25.267548100004198</v>
      </c>
      <c r="AT59">
        <v>88</v>
      </c>
      <c r="AU59">
        <f>AT59/100</f>
        <v>0.88</v>
      </c>
      <c r="AV59">
        <v>73765.253677874804</v>
      </c>
      <c r="AW59">
        <f>AV59/F59</f>
        <v>1.272397632230742</v>
      </c>
      <c r="AX59">
        <v>14.5699422999896</v>
      </c>
      <c r="AY59" t="str">
        <f>IF(AL59=MIN(AL59,AQ59,AV59),"Simulated Annealing",IF(AQ59=MIN(AL59,AQ59,AV59),"Ant Colony Optimization","Genetic Algorithm"))</f>
        <v>Simulated Annealing</v>
      </c>
      <c r="AZ59">
        <f>MIN(AL59,AQ59,AV59)</f>
        <v>73415.252200962204</v>
      </c>
      <c r="BA59">
        <f>AZ59/F59</f>
        <v>1.2663603581986398</v>
      </c>
      <c r="BB59">
        <v>68583.519073670497</v>
      </c>
      <c r="BC59">
        <f>BB59/F59</f>
        <v>1.183016432919348</v>
      </c>
      <c r="BD59">
        <v>9.6000000000000002E-2</v>
      </c>
      <c r="BE59">
        <v>5</v>
      </c>
      <c r="BF59">
        <v>5</v>
      </c>
    </row>
    <row r="60" spans="1:58" x14ac:dyDescent="0.3">
      <c r="A60">
        <v>90</v>
      </c>
      <c r="B60">
        <v>295</v>
      </c>
      <c r="C60">
        <v>0.15732889893537899</v>
      </c>
      <c r="D60">
        <v>0.41414484247023903</v>
      </c>
      <c r="E60">
        <f>SQRT(D60)</f>
        <v>0.64354086309281011</v>
      </c>
      <c r="F60">
        <v>59969.0376204391</v>
      </c>
      <c r="G60">
        <v>2.5029753000126198</v>
      </c>
      <c r="H60">
        <v>80383.014239129596</v>
      </c>
      <c r="I60">
        <f>H60/F60</f>
        <v>1.3404086079869464</v>
      </c>
      <c r="J60">
        <v>0.45199279999360398</v>
      </c>
      <c r="K60">
        <v>605427.61337249202</v>
      </c>
      <c r="L60" t="s">
        <v>44</v>
      </c>
      <c r="M60" t="s">
        <v>37</v>
      </c>
      <c r="N60">
        <v>232</v>
      </c>
      <c r="O60">
        <f>(N60+1)/B60</f>
        <v>0.78983050847457625</v>
      </c>
      <c r="P60">
        <v>89477.997386477102</v>
      </c>
      <c r="Q60">
        <f>P60/F60</f>
        <v>1.4920699236964332</v>
      </c>
      <c r="R60">
        <v>2.5029753000126198</v>
      </c>
      <c r="S60">
        <v>190</v>
      </c>
      <c r="T60">
        <f>(S60+1)/B60</f>
        <v>0.64745762711864407</v>
      </c>
      <c r="U60">
        <v>79746.251736541904</v>
      </c>
      <c r="V60">
        <f>U60/F60</f>
        <v>1.3297904202044788</v>
      </c>
      <c r="W60">
        <v>0.70543689996702597</v>
      </c>
      <c r="X60" t="str">
        <f>IF(H60=MIN(H60,P60,U60),"Christofides",IF(P60=MIN(H60,P60,U60),"Arithmetic Series","Nearest Neighbor"))</f>
        <v>Nearest Neighbor</v>
      </c>
      <c r="Y60">
        <f>MIN(H60,P60,U60)</f>
        <v>79746.251736541904</v>
      </c>
      <c r="Z60">
        <f>Y60/F60</f>
        <v>1.3297904202044788</v>
      </c>
      <c r="AA60">
        <v>3235</v>
      </c>
      <c r="AB60">
        <v>4243</v>
      </c>
      <c r="AC60">
        <f>AA60/AB60</f>
        <v>0.76243224133867549</v>
      </c>
      <c r="AD60">
        <v>0</v>
      </c>
      <c r="AE60">
        <v>79746.251736542006</v>
      </c>
      <c r="AF60">
        <v>28</v>
      </c>
      <c r="AG60">
        <f>AF60/AB60</f>
        <v>6.5991044072590144E-3</v>
      </c>
      <c r="AH60" s="1">
        <v>7.2759576141834194E-11</v>
      </c>
      <c r="AI60" s="4">
        <v>78360.7975403538</v>
      </c>
      <c r="AJ60" s="4">
        <v>1075</v>
      </c>
      <c r="AK60" s="4">
        <f>AJ60/AB60</f>
        <v>0.25335847277869433</v>
      </c>
      <c r="AL60">
        <v>77756.494708950398</v>
      </c>
      <c r="AM60">
        <f>AL60/F60</f>
        <v>1.2966106810166458</v>
      </c>
      <c r="AN60">
        <v>0.53049249999457904</v>
      </c>
      <c r="AO60">
        <v>4</v>
      </c>
      <c r="AP60">
        <f>AO60/10</f>
        <v>0.4</v>
      </c>
      <c r="AQ60">
        <v>78770.930502225194</v>
      </c>
      <c r="AR60">
        <f>AQ60/F60</f>
        <v>1.3135266735609226</v>
      </c>
      <c r="AS60">
        <v>20.9771745000034</v>
      </c>
      <c r="AT60">
        <v>24</v>
      </c>
      <c r="AU60">
        <f>AT60/100</f>
        <v>0.24</v>
      </c>
      <c r="AV60">
        <v>79696.683973355699</v>
      </c>
      <c r="AW60">
        <f>AV60/F60</f>
        <v>1.3289638642824055</v>
      </c>
      <c r="AX60">
        <v>15.400965599983399</v>
      </c>
      <c r="AY60" t="str">
        <f>IF(AL60=MIN(AL60,AQ60,AV60),"Simulated Annealing",IF(AQ60=MIN(AL60,AQ60,AV60),"Ant Colony Optimization","Genetic Algorithm"))</f>
        <v>Simulated Annealing</v>
      </c>
      <c r="AZ60">
        <f>MIN(AL60,AQ60,AV60)</f>
        <v>77756.494708950398</v>
      </c>
      <c r="BA60">
        <f>AZ60/F60</f>
        <v>1.2966106810166458</v>
      </c>
      <c r="BB60">
        <v>69887.265612683797</v>
      </c>
      <c r="BC60">
        <f>BB60/F60</f>
        <v>1.1653891472299414</v>
      </c>
      <c r="BD60">
        <v>0.112</v>
      </c>
      <c r="BE60">
        <v>5</v>
      </c>
      <c r="BF60">
        <v>5.0179999999999998</v>
      </c>
    </row>
    <row r="61" spans="1:58" x14ac:dyDescent="0.3">
      <c r="A61">
        <v>30</v>
      </c>
      <c r="B61">
        <v>300</v>
      </c>
      <c r="C61">
        <v>0.14835144827196201</v>
      </c>
      <c r="D61">
        <v>0.57171795936482706</v>
      </c>
      <c r="E61">
        <f>SQRT(D61)</f>
        <v>0.75612033391836986</v>
      </c>
      <c r="F61">
        <v>59071.068646703803</v>
      </c>
      <c r="G61">
        <v>2.6187794000143101</v>
      </c>
      <c r="H61">
        <v>76643.143916139306</v>
      </c>
      <c r="I61">
        <f>H61/F61</f>
        <v>1.2974734615778114</v>
      </c>
      <c r="J61">
        <v>0.47799289999238598</v>
      </c>
      <c r="K61">
        <v>628340.73493338795</v>
      </c>
      <c r="L61" t="s">
        <v>44</v>
      </c>
      <c r="M61">
        <v>0</v>
      </c>
      <c r="N61">
        <v>258</v>
      </c>
      <c r="O61">
        <f>(N61+1)/B61</f>
        <v>0.86333333333333329</v>
      </c>
      <c r="P61">
        <v>81708.979569864503</v>
      </c>
      <c r="Q61">
        <f>P61/F61</f>
        <v>1.3832317823561824</v>
      </c>
      <c r="R61">
        <v>2.6187794000143101</v>
      </c>
      <c r="S61">
        <v>79</v>
      </c>
      <c r="T61">
        <f>(S61+1)/B61</f>
        <v>0.26666666666666666</v>
      </c>
      <c r="U61">
        <v>76463.094735496707</v>
      </c>
      <c r="V61">
        <f>U61/F61</f>
        <v>1.2944254520400214</v>
      </c>
      <c r="W61">
        <v>0.72297030000481699</v>
      </c>
      <c r="X61" t="str">
        <f>IF(H61=MIN(H61,P61,U61),"Christofides",IF(P61=MIN(H61,P61,U61),"Arithmetic Series","Nearest Neighbor"))</f>
        <v>Nearest Neighbor</v>
      </c>
      <c r="Y61">
        <f>MIN(H61,P61,U61)</f>
        <v>76463.094735496707</v>
      </c>
      <c r="Z61">
        <f>Y61/F61</f>
        <v>1.2944254520400214</v>
      </c>
      <c r="AA61">
        <v>3857</v>
      </c>
      <c r="AB61">
        <v>4244</v>
      </c>
      <c r="AC61">
        <f>AA61/AB61</f>
        <v>0.90881244109330817</v>
      </c>
      <c r="AD61">
        <v>0</v>
      </c>
      <c r="AE61">
        <v>76463.094735496707</v>
      </c>
      <c r="AF61">
        <v>55</v>
      </c>
      <c r="AG61">
        <f>AF61/AB61</f>
        <v>1.2959472196041471E-2</v>
      </c>
      <c r="AH61" s="1">
        <v>7.2759576141834194E-11</v>
      </c>
      <c r="AI61" s="4">
        <v>75506.457864300799</v>
      </c>
      <c r="AJ61" s="4">
        <v>2891</v>
      </c>
      <c r="AK61" s="4">
        <f>AJ61/AB61</f>
        <v>0.68119698397737982</v>
      </c>
      <c r="AL61">
        <v>75368.138875683901</v>
      </c>
      <c r="AM61">
        <f>AL61/F61</f>
        <v>1.2758892060418054</v>
      </c>
      <c r="AN61">
        <v>0.50016870000399605</v>
      </c>
      <c r="AO61">
        <v>6</v>
      </c>
      <c r="AP61">
        <f>AO61/10</f>
        <v>0.6</v>
      </c>
      <c r="AQ61">
        <v>74250.223428026395</v>
      </c>
      <c r="AR61">
        <f>AQ61/F61</f>
        <v>1.2569642826695264</v>
      </c>
      <c r="AS61">
        <v>21.612113800001602</v>
      </c>
      <c r="AT61">
        <v>0</v>
      </c>
      <c r="AU61">
        <f>AT61/100</f>
        <v>0</v>
      </c>
      <c r="AV61">
        <v>76463.094735496707</v>
      </c>
      <c r="AW61">
        <f>AV61/F61</f>
        <v>1.2944254520400214</v>
      </c>
      <c r="AX61">
        <v>16.038843999995098</v>
      </c>
      <c r="AY61" t="str">
        <f>IF(AL61=MIN(AL61,AQ61,AV61),"Simulated Annealing",IF(AQ61=MIN(AL61,AQ61,AV61),"Ant Colony Optimization","Genetic Algorithm"))</f>
        <v>Ant Colony Optimization</v>
      </c>
      <c r="AZ61">
        <f>MIN(AL61,AQ61,AV61)</f>
        <v>74250.223428026395</v>
      </c>
      <c r="BA61">
        <f>AZ61/F61</f>
        <v>1.2569642826695264</v>
      </c>
      <c r="BB61">
        <v>68823.0522898536</v>
      </c>
      <c r="BC61">
        <f>BB61/F61</f>
        <v>1.1650889998532972</v>
      </c>
      <c r="BD61">
        <v>0.112</v>
      </c>
      <c r="BE61">
        <v>5</v>
      </c>
      <c r="BF61">
        <v>5</v>
      </c>
    </row>
    <row r="62" spans="1:58" x14ac:dyDescent="0.3">
      <c r="A62">
        <v>91</v>
      </c>
      <c r="B62">
        <v>305</v>
      </c>
      <c r="C62">
        <v>0.14325585889824299</v>
      </c>
      <c r="D62">
        <v>0.52582474646965205</v>
      </c>
      <c r="E62">
        <f>SQRT(D62)</f>
        <v>0.72513774310102774</v>
      </c>
      <c r="F62">
        <v>57838.353585030498</v>
      </c>
      <c r="G62">
        <v>3.0905022000078999</v>
      </c>
      <c r="H62">
        <v>76603.128079211107</v>
      </c>
      <c r="I62">
        <f>H62/F62</f>
        <v>1.3244347968272256</v>
      </c>
      <c r="J62">
        <v>0.50719720002962199</v>
      </c>
      <c r="K62">
        <v>651710.29862374603</v>
      </c>
      <c r="L62" t="s">
        <v>44</v>
      </c>
      <c r="M62" t="s">
        <v>37</v>
      </c>
      <c r="N62">
        <v>207</v>
      </c>
      <c r="O62">
        <f>(N62+1)/B62</f>
        <v>0.68196721311475406</v>
      </c>
      <c r="P62">
        <v>78346.478447389105</v>
      </c>
      <c r="Q62">
        <f>P62/F62</f>
        <v>1.3545765671252863</v>
      </c>
      <c r="R62">
        <v>3.0905022000078999</v>
      </c>
      <c r="S62">
        <v>286</v>
      </c>
      <c r="T62">
        <f>(S62+1)/B62</f>
        <v>0.94098360655737701</v>
      </c>
      <c r="U62">
        <v>74540.2335533062</v>
      </c>
      <c r="V62">
        <f>U62/F62</f>
        <v>1.2887682468990338</v>
      </c>
      <c r="W62">
        <v>0.90819159999955401</v>
      </c>
      <c r="X62" t="str">
        <f>IF(H62=MIN(H62,P62,U62),"Christofides",IF(P62=MIN(H62,P62,U62),"Arithmetic Series","Nearest Neighbor"))</f>
        <v>Nearest Neighbor</v>
      </c>
      <c r="Y62">
        <f>MIN(H62,P62,U62)</f>
        <v>74540.2335533062</v>
      </c>
      <c r="Z62">
        <f>Y62/F62</f>
        <v>1.2887682468990338</v>
      </c>
      <c r="AA62">
        <v>3444</v>
      </c>
      <c r="AB62">
        <v>4246</v>
      </c>
      <c r="AC62">
        <f>AA62/AB62</f>
        <v>0.81111634479510131</v>
      </c>
      <c r="AD62">
        <v>0</v>
      </c>
      <c r="AE62">
        <v>74281.171741156999</v>
      </c>
      <c r="AF62">
        <v>677</v>
      </c>
      <c r="AG62">
        <f>AF62/AB62</f>
        <v>0.15944418276024494</v>
      </c>
      <c r="AH62" s="1">
        <v>2.91038304567337E-11</v>
      </c>
      <c r="AI62" s="4">
        <v>74281.171741156999</v>
      </c>
      <c r="AJ62" s="4">
        <v>677</v>
      </c>
      <c r="AK62" s="4">
        <f>AJ62/AB62</f>
        <v>0.15944418276024494</v>
      </c>
      <c r="AL62">
        <v>73615.677389636796</v>
      </c>
      <c r="AM62">
        <f>AL62/F62</f>
        <v>1.2727830725923313</v>
      </c>
      <c r="AN62">
        <v>0.65027949999784995</v>
      </c>
      <c r="AO62">
        <v>0</v>
      </c>
      <c r="AP62">
        <f>AO62/10</f>
        <v>0</v>
      </c>
      <c r="AQ62">
        <v>74540.2335533062</v>
      </c>
      <c r="AR62">
        <f>AQ62/F62</f>
        <v>1.2887682468990338</v>
      </c>
      <c r="AS62">
        <v>23.702953000029002</v>
      </c>
      <c r="AT62">
        <v>75</v>
      </c>
      <c r="AU62">
        <f>AT62/100</f>
        <v>0.75</v>
      </c>
      <c r="AV62">
        <v>74328.279348667304</v>
      </c>
      <c r="AW62">
        <f>AV62/F62</f>
        <v>1.285103650804899</v>
      </c>
      <c r="AX62">
        <v>16.899458799976799</v>
      </c>
      <c r="AY62" t="str">
        <f>IF(AL62=MIN(AL62,AQ62,AV62),"Simulated Annealing",IF(AQ62=MIN(AL62,AQ62,AV62),"Ant Colony Optimization","Genetic Algorithm"))</f>
        <v>Simulated Annealing</v>
      </c>
      <c r="AZ62">
        <f>MIN(AL62,AQ62,AV62)</f>
        <v>73615.677389636796</v>
      </c>
      <c r="BA62">
        <f>AZ62/F62</f>
        <v>1.2727830725923313</v>
      </c>
      <c r="BB62">
        <v>67890.730022415199</v>
      </c>
      <c r="BC62">
        <f>BB62/F62</f>
        <v>1.1738012203719854</v>
      </c>
      <c r="BD62">
        <v>0.112</v>
      </c>
      <c r="BE62">
        <v>5</v>
      </c>
      <c r="BF62">
        <v>5</v>
      </c>
    </row>
    <row r="63" spans="1:58" x14ac:dyDescent="0.3">
      <c r="A63">
        <v>31</v>
      </c>
      <c r="B63">
        <v>310</v>
      </c>
      <c r="C63">
        <v>0.14205980899367901</v>
      </c>
      <c r="D63">
        <v>0.63781319411911996</v>
      </c>
      <c r="E63">
        <f>SQRT(D63)</f>
        <v>0.79863207681580128</v>
      </c>
      <c r="F63">
        <v>59045.793975444103</v>
      </c>
      <c r="G63">
        <v>3.0279055000282802</v>
      </c>
      <c r="H63">
        <v>78649.406851870197</v>
      </c>
      <c r="I63">
        <f>H63/F63</f>
        <v>1.3320069315111389</v>
      </c>
      <c r="J63">
        <v>0.51749389999895301</v>
      </c>
      <c r="K63">
        <v>675539.671066902</v>
      </c>
      <c r="L63" t="s">
        <v>44</v>
      </c>
      <c r="M63">
        <v>0</v>
      </c>
      <c r="N63">
        <v>17</v>
      </c>
      <c r="O63">
        <f>(N63+1)/B63</f>
        <v>5.8064516129032261E-2</v>
      </c>
      <c r="P63">
        <v>84779.100847859896</v>
      </c>
      <c r="Q63">
        <f>P63/F63</f>
        <v>1.4358194740021233</v>
      </c>
      <c r="R63">
        <v>3.0279055000282802</v>
      </c>
      <c r="S63">
        <v>294</v>
      </c>
      <c r="T63">
        <f>(S63+1)/B63</f>
        <v>0.95161290322580649</v>
      </c>
      <c r="U63">
        <v>78253.8067811254</v>
      </c>
      <c r="V63">
        <f>U63/F63</f>
        <v>1.325307045810401</v>
      </c>
      <c r="W63">
        <v>0.81709570006932997</v>
      </c>
      <c r="X63" t="str">
        <f>IF(H63=MIN(H63,P63,U63),"Christofides",IF(P63=MIN(H63,P63,U63),"Arithmetic Series","Nearest Neighbor"))</f>
        <v>Nearest Neighbor</v>
      </c>
      <c r="Y63">
        <f>MIN(H63,P63,U63)</f>
        <v>78253.8067811254</v>
      </c>
      <c r="Z63">
        <f>Y63/F63</f>
        <v>1.325307045810401</v>
      </c>
      <c r="AA63">
        <v>4163</v>
      </c>
      <c r="AB63">
        <v>4248</v>
      </c>
      <c r="AC63">
        <f>AA63/AB63</f>
        <v>0.97999058380414317</v>
      </c>
      <c r="AD63">
        <v>0</v>
      </c>
      <c r="AE63">
        <v>77176.555121441197</v>
      </c>
      <c r="AF63">
        <v>2363</v>
      </c>
      <c r="AG63">
        <f>AF63/AB63</f>
        <v>0.55626177024482104</v>
      </c>
      <c r="AH63" s="1">
        <v>4.3655745685100497E-11</v>
      </c>
      <c r="AI63" s="4">
        <v>76847.9675443374</v>
      </c>
      <c r="AJ63" s="4">
        <v>4201</v>
      </c>
      <c r="AK63" s="4">
        <f>AJ63/AB63</f>
        <v>0.98893596986817323</v>
      </c>
      <c r="AL63">
        <v>76847.9675443374</v>
      </c>
      <c r="AM63">
        <f>AL63/F63</f>
        <v>1.3014977421812102</v>
      </c>
      <c r="AN63">
        <v>0.53013499999360603</v>
      </c>
      <c r="AO63">
        <v>8</v>
      </c>
      <c r="AP63">
        <f>AO63/10</f>
        <v>0.8</v>
      </c>
      <c r="AQ63">
        <v>77177.711343307703</v>
      </c>
      <c r="AR63">
        <f>AQ63/F63</f>
        <v>1.3070822855799735</v>
      </c>
      <c r="AS63">
        <v>23.2909480000089</v>
      </c>
      <c r="AT63">
        <v>0</v>
      </c>
      <c r="AU63">
        <f>AT63/100</f>
        <v>0</v>
      </c>
      <c r="AV63">
        <v>78253.8067811254</v>
      </c>
      <c r="AW63">
        <f>AV63/F63</f>
        <v>1.325307045810401</v>
      </c>
      <c r="AX63">
        <v>17.880628800004999</v>
      </c>
      <c r="AY63" t="str">
        <f>IF(AL63=MIN(AL63,AQ63,AV63),"Simulated Annealing",IF(AQ63=MIN(AL63,AQ63,AV63),"Ant Colony Optimization","Genetic Algorithm"))</f>
        <v>Simulated Annealing</v>
      </c>
      <c r="AZ63">
        <f>MIN(AL63,AQ63,AV63)</f>
        <v>76847.9675443374</v>
      </c>
      <c r="BA63">
        <f>AZ63/F63</f>
        <v>1.3014977421812102</v>
      </c>
      <c r="BB63">
        <v>69734.266449666902</v>
      </c>
      <c r="BC63">
        <f>BB63/F63</f>
        <v>1.1810200482470929</v>
      </c>
      <c r="BD63">
        <v>0.112</v>
      </c>
      <c r="BE63">
        <v>5</v>
      </c>
      <c r="BF63">
        <v>5</v>
      </c>
    </row>
    <row r="64" spans="1:58" x14ac:dyDescent="0.3">
      <c r="A64">
        <v>92</v>
      </c>
      <c r="B64">
        <v>315</v>
      </c>
      <c r="C64">
        <v>0.13621906026893699</v>
      </c>
      <c r="D64">
        <v>0.53768759648783604</v>
      </c>
      <c r="E64">
        <f>SQRT(D64)</f>
        <v>0.73327184351223795</v>
      </c>
      <c r="F64">
        <v>60727.036496130597</v>
      </c>
      <c r="G64">
        <v>3.0381774000125001</v>
      </c>
      <c r="H64">
        <v>77619.481113958696</v>
      </c>
      <c r="I64">
        <f>H64/F64</f>
        <v>1.2781700802887763</v>
      </c>
      <c r="J64">
        <v>0.53402950003510297</v>
      </c>
      <c r="K64">
        <v>699829.96772231604</v>
      </c>
      <c r="L64" t="s">
        <v>44</v>
      </c>
      <c r="M64">
        <v>0</v>
      </c>
      <c r="N64">
        <v>231</v>
      </c>
      <c r="O64">
        <f>(N64+1)/B64</f>
        <v>0.73650793650793656</v>
      </c>
      <c r="P64">
        <v>85746.732633237902</v>
      </c>
      <c r="Q64">
        <f>P64/F64</f>
        <v>1.4120025869976631</v>
      </c>
      <c r="R64">
        <v>3.0381774000125001</v>
      </c>
      <c r="S64">
        <v>207</v>
      </c>
      <c r="T64">
        <f>(S64+1)/B64</f>
        <v>0.6603174603174603</v>
      </c>
      <c r="U64">
        <v>82911.8401281322</v>
      </c>
      <c r="V64">
        <f>U64/F64</f>
        <v>1.3653200437899711</v>
      </c>
      <c r="W64">
        <v>0.93591950001427904</v>
      </c>
      <c r="X64" t="str">
        <f>IF(H64=MIN(H64,P64,U64),"Christofides",IF(P64=MIN(H64,P64,U64),"Arithmetic Series","Nearest Neighbor"))</f>
        <v>Christofides</v>
      </c>
      <c r="Y64">
        <f>MIN(H64,P64,U64)</f>
        <v>77619.481113958696</v>
      </c>
      <c r="Z64">
        <f>Y64/F64</f>
        <v>1.2781700802887763</v>
      </c>
      <c r="AA64">
        <v>4231</v>
      </c>
      <c r="AB64">
        <v>4249</v>
      </c>
      <c r="AC64">
        <f>AA64/AB64</f>
        <v>0.99576370910802536</v>
      </c>
      <c r="AD64">
        <v>0</v>
      </c>
      <c r="AE64">
        <v>77619.481113958798</v>
      </c>
      <c r="AF64">
        <v>3</v>
      </c>
      <c r="AG64">
        <f>AF64/AB64</f>
        <v>7.0604848199576375E-4</v>
      </c>
      <c r="AH64" s="1">
        <v>1.0186340659856701E-10</v>
      </c>
      <c r="AI64" s="4">
        <v>77379.635168102701</v>
      </c>
      <c r="AJ64" s="4">
        <v>1127</v>
      </c>
      <c r="AK64" s="4">
        <f>AJ64/AB64</f>
        <v>0.26523887973640858</v>
      </c>
      <c r="AL64">
        <v>76477.3607964283</v>
      </c>
      <c r="AM64">
        <f>AL64/F64</f>
        <v>1.2593626366289301</v>
      </c>
      <c r="AN64">
        <v>0.57669489999534496</v>
      </c>
      <c r="AO64">
        <v>1</v>
      </c>
      <c r="AP64">
        <f>AO64/10</f>
        <v>0.1</v>
      </c>
      <c r="AQ64">
        <v>77619.481113958696</v>
      </c>
      <c r="AR64">
        <f>AQ64/F64</f>
        <v>1.2781700802887763</v>
      </c>
      <c r="AS64">
        <v>25.431033800006801</v>
      </c>
      <c r="AT64">
        <v>89</v>
      </c>
      <c r="AU64">
        <f>AT64/100</f>
        <v>0.89</v>
      </c>
      <c r="AV64">
        <v>77125.745220604003</v>
      </c>
      <c r="AW64">
        <f>AV64/F64</f>
        <v>1.270039667183797</v>
      </c>
      <c r="AX64">
        <v>19.112921299994898</v>
      </c>
      <c r="AY64" t="str">
        <f>IF(AL64=MIN(AL64,AQ64,AV64),"Simulated Annealing",IF(AQ64=MIN(AL64,AQ64,AV64),"Ant Colony Optimization","Genetic Algorithm"))</f>
        <v>Simulated Annealing</v>
      </c>
      <c r="AZ64">
        <f>MIN(AL64,AQ64,AV64)</f>
        <v>76477.3607964283</v>
      </c>
      <c r="BA64">
        <f>AZ64/F64</f>
        <v>1.2593626366289301</v>
      </c>
      <c r="BB64">
        <v>72303.694637055902</v>
      </c>
      <c r="BC64">
        <f>BB64/F64</f>
        <v>1.190634333714983</v>
      </c>
      <c r="BD64">
        <v>0.112</v>
      </c>
      <c r="BE64">
        <v>5</v>
      </c>
      <c r="BF64">
        <v>5.0110000000000001</v>
      </c>
    </row>
    <row r="65" spans="1:58" x14ac:dyDescent="0.3">
      <c r="A65">
        <v>32</v>
      </c>
      <c r="B65">
        <v>320</v>
      </c>
      <c r="C65">
        <v>0.130428432558269</v>
      </c>
      <c r="D65">
        <v>0.76051788835536904</v>
      </c>
      <c r="E65">
        <f>SQRT(D65)</f>
        <v>0.87207676746681484</v>
      </c>
      <c r="F65">
        <v>59919.2271230763</v>
      </c>
      <c r="G65">
        <v>3.2422922999830899</v>
      </c>
      <c r="H65">
        <v>77025.998559884596</v>
      </c>
      <c r="I65">
        <f>H65/F65</f>
        <v>1.2854971977804446</v>
      </c>
      <c r="J65">
        <v>0.58658400000422195</v>
      </c>
      <c r="K65">
        <v>724580.27646624704</v>
      </c>
      <c r="L65" t="s">
        <v>44</v>
      </c>
      <c r="M65" t="s">
        <v>37</v>
      </c>
      <c r="N65">
        <v>77</v>
      </c>
      <c r="O65">
        <f>(N65+1)/B65</f>
        <v>0.24374999999999999</v>
      </c>
      <c r="P65">
        <v>79153.084470345406</v>
      </c>
      <c r="Q65">
        <f>P65/F65</f>
        <v>1.3209964191921577</v>
      </c>
      <c r="R65">
        <v>3.2422922999830899</v>
      </c>
      <c r="S65">
        <v>108</v>
      </c>
      <c r="T65">
        <f>(S65+1)/B65</f>
        <v>0.34062500000000001</v>
      </c>
      <c r="U65">
        <v>77030.557023361194</v>
      </c>
      <c r="V65">
        <f>U65/F65</f>
        <v>1.2855732745874306</v>
      </c>
      <c r="W65">
        <v>0.87575620005372901</v>
      </c>
      <c r="X65" t="str">
        <f>IF(H65=MIN(H65,P65,U65),"Christofides",IF(P65=MIN(H65,P65,U65),"Arithmetic Series","Nearest Neighbor"))</f>
        <v>Christofides</v>
      </c>
      <c r="Y65">
        <f>MIN(H65,P65,U65)</f>
        <v>77025.998559884596</v>
      </c>
      <c r="Z65">
        <f>Y65/F65</f>
        <v>1.2854971977804446</v>
      </c>
      <c r="AA65">
        <v>3360</v>
      </c>
      <c r="AB65">
        <v>4251</v>
      </c>
      <c r="AC65">
        <f>AA65/AB65</f>
        <v>0.79040225829216659</v>
      </c>
      <c r="AD65">
        <v>0</v>
      </c>
      <c r="AE65">
        <v>77025.998559884596</v>
      </c>
      <c r="AF65">
        <v>215</v>
      </c>
      <c r="AG65">
        <f>AF65/AB65</f>
        <v>5.0576334980004703E-2</v>
      </c>
      <c r="AH65" s="1">
        <v>1.0186340659856701E-10</v>
      </c>
      <c r="AI65" s="4">
        <v>76699.454141026406</v>
      </c>
      <c r="AJ65" s="4">
        <v>879</v>
      </c>
      <c r="AK65" s="4">
        <f>AJ65/AB65</f>
        <v>0.20677487649964715</v>
      </c>
      <c r="AL65">
        <v>76217.188300122405</v>
      </c>
      <c r="AM65">
        <f>AL65/F65</f>
        <v>1.2719988551182326</v>
      </c>
      <c r="AN65">
        <v>0.56834259998868197</v>
      </c>
      <c r="AO65">
        <v>1</v>
      </c>
      <c r="AP65">
        <f>AO65/10</f>
        <v>0.1</v>
      </c>
      <c r="AQ65">
        <v>77025.998559884596</v>
      </c>
      <c r="AR65">
        <f>AQ65/F65</f>
        <v>1.2854971977804446</v>
      </c>
      <c r="AS65">
        <v>31.103093099998599</v>
      </c>
      <c r="AT65">
        <v>2</v>
      </c>
      <c r="AU65">
        <f>AT65/100</f>
        <v>0.02</v>
      </c>
      <c r="AV65">
        <v>77025.998559884596</v>
      </c>
      <c r="AW65">
        <f>AV65/F65</f>
        <v>1.2854971977804446</v>
      </c>
      <c r="AX65">
        <v>19.765246599999902</v>
      </c>
      <c r="AY65" t="str">
        <f>IF(AL65=MIN(AL65,AQ65,AV65),"Simulated Annealing",IF(AQ65=MIN(AL65,AQ65,AV65),"Ant Colony Optimization","Genetic Algorithm"))</f>
        <v>Simulated Annealing</v>
      </c>
      <c r="AZ65">
        <f>MIN(AL65,AQ65,AV65)</f>
        <v>76217.188300122405</v>
      </c>
      <c r="BA65">
        <f>AZ65/F65</f>
        <v>1.2719988551182326</v>
      </c>
      <c r="BB65">
        <v>70874.705896639396</v>
      </c>
      <c r="BC65">
        <f>BB65/F65</f>
        <v>1.1828374513419564</v>
      </c>
      <c r="BD65">
        <v>0.112</v>
      </c>
      <c r="BE65">
        <v>5</v>
      </c>
      <c r="BF65">
        <v>5.1070000000000002</v>
      </c>
    </row>
    <row r="66" spans="1:58" x14ac:dyDescent="0.3">
      <c r="A66">
        <v>93</v>
      </c>
      <c r="B66">
        <v>325</v>
      </c>
      <c r="C66">
        <v>0.128004507384542</v>
      </c>
      <c r="D66">
        <v>0.78419803882679395</v>
      </c>
      <c r="E66">
        <f>SQRT(D66)</f>
        <v>0.88554956881407487</v>
      </c>
      <c r="F66">
        <v>59930.086816197203</v>
      </c>
      <c r="G66">
        <v>3.4738684999756502</v>
      </c>
      <c r="H66">
        <v>83171.769172168293</v>
      </c>
      <c r="I66">
        <f>H66/F66</f>
        <v>1.3878132602619491</v>
      </c>
      <c r="J66">
        <v>0.59156470000743799</v>
      </c>
      <c r="K66">
        <v>749797.02088434098</v>
      </c>
      <c r="L66" t="s">
        <v>44</v>
      </c>
      <c r="M66">
        <v>0</v>
      </c>
      <c r="N66">
        <v>312</v>
      </c>
      <c r="O66">
        <f>(N66+1)/B66</f>
        <v>0.96307692307692305</v>
      </c>
      <c r="P66">
        <v>87183.212887400907</v>
      </c>
      <c r="Q66">
        <f>P66/F66</f>
        <v>1.4547486499525317</v>
      </c>
      <c r="R66">
        <v>3.4738684999756502</v>
      </c>
      <c r="S66">
        <v>210</v>
      </c>
      <c r="T66">
        <f>(S66+1)/B66</f>
        <v>0.64923076923076928</v>
      </c>
      <c r="U66">
        <v>79933.096999681598</v>
      </c>
      <c r="V66">
        <f>U66/F66</f>
        <v>1.333772421268681</v>
      </c>
      <c r="W66">
        <v>0.92719240003498204</v>
      </c>
      <c r="X66" t="str">
        <f>IF(H66=MIN(H66,P66,U66),"Christofides",IF(P66=MIN(H66,P66,U66),"Arithmetic Series","Nearest Neighbor"))</f>
        <v>Nearest Neighbor</v>
      </c>
      <c r="Y66">
        <f>MIN(H66,P66,U66)</f>
        <v>79933.096999681598</v>
      </c>
      <c r="Z66">
        <f>Y66/F66</f>
        <v>1.333772421268681</v>
      </c>
      <c r="AA66">
        <v>2511</v>
      </c>
      <c r="AB66">
        <v>4252</v>
      </c>
      <c r="AC66">
        <f>AA66/AB66</f>
        <v>0.59054562558795864</v>
      </c>
      <c r="AD66">
        <v>0</v>
      </c>
      <c r="AE66">
        <v>79933.096999681598</v>
      </c>
      <c r="AF66">
        <v>352</v>
      </c>
      <c r="AG66">
        <f>AF66/AB66</f>
        <v>8.2784571966133591E-2</v>
      </c>
      <c r="AH66" s="1">
        <v>1.45519152283668E-11</v>
      </c>
      <c r="AI66" s="4">
        <v>79933.096999681598</v>
      </c>
      <c r="AJ66" s="4">
        <v>352</v>
      </c>
      <c r="AK66" s="4">
        <f>AJ66/AB66</f>
        <v>8.2784571966133591E-2</v>
      </c>
      <c r="AL66">
        <v>79339.936907091003</v>
      </c>
      <c r="AM66">
        <f>AL66/F66</f>
        <v>1.3238748869232062</v>
      </c>
      <c r="AN66">
        <v>0.57641859998693601</v>
      </c>
      <c r="AO66">
        <v>9</v>
      </c>
      <c r="AP66">
        <f>AO66/10</f>
        <v>0.9</v>
      </c>
      <c r="AQ66">
        <v>78918.060708018005</v>
      </c>
      <c r="AR66">
        <f>AQ66/F66</f>
        <v>1.3168354144063905</v>
      </c>
      <c r="AS66">
        <v>30.071426999987999</v>
      </c>
      <c r="AT66">
        <v>3</v>
      </c>
      <c r="AU66">
        <f>AT66/100</f>
        <v>0.03</v>
      </c>
      <c r="AV66">
        <v>79786.800952764403</v>
      </c>
      <c r="AW66">
        <f>AV66/F66</f>
        <v>1.3313313093883348</v>
      </c>
      <c r="AX66">
        <v>20.627092299982898</v>
      </c>
      <c r="AY66" t="str">
        <f>IF(AL66=MIN(AL66,AQ66,AV66),"Simulated Annealing",IF(AQ66=MIN(AL66,AQ66,AV66),"Ant Colony Optimization","Genetic Algorithm"))</f>
        <v>Ant Colony Optimization</v>
      </c>
      <c r="AZ66">
        <f>MIN(AL66,AQ66,AV66)</f>
        <v>78918.060708018005</v>
      </c>
      <c r="BA66">
        <f>AZ66/F66</f>
        <v>1.3168354144063905</v>
      </c>
      <c r="BB66">
        <v>70436.376758286293</v>
      </c>
      <c r="BC66">
        <f>BB66/F66</f>
        <v>1.1753091059973164</v>
      </c>
      <c r="BD66">
        <v>0.112</v>
      </c>
      <c r="BE66">
        <v>5</v>
      </c>
      <c r="BF66">
        <v>5</v>
      </c>
    </row>
    <row r="67" spans="1:58" x14ac:dyDescent="0.3">
      <c r="A67">
        <v>33</v>
      </c>
      <c r="B67">
        <v>330</v>
      </c>
      <c r="C67">
        <v>0.121966138539397</v>
      </c>
      <c r="D67">
        <v>0.749510476824508</v>
      </c>
      <c r="E67">
        <f>SQRT(D67)</f>
        <v>0.86574273131485657</v>
      </c>
      <c r="F67">
        <v>60705.921121145999</v>
      </c>
      <c r="G67">
        <v>3.5332735999254501</v>
      </c>
      <c r="H67">
        <v>81052.576823943396</v>
      </c>
      <c r="I67">
        <f>H67/F67</f>
        <v>1.3351675640040646</v>
      </c>
      <c r="J67">
        <v>0.59088290001091004</v>
      </c>
      <c r="K67">
        <v>775478.15193399496</v>
      </c>
      <c r="L67" t="s">
        <v>44</v>
      </c>
      <c r="M67">
        <v>1</v>
      </c>
      <c r="N67">
        <v>245</v>
      </c>
      <c r="O67">
        <f>(N67+1)/B67</f>
        <v>0.74545454545454548</v>
      </c>
      <c r="P67">
        <v>89430.876720885994</v>
      </c>
      <c r="Q67">
        <f>P67/F67</f>
        <v>1.4731821059500254</v>
      </c>
      <c r="R67">
        <v>3.5332735999254501</v>
      </c>
      <c r="S67">
        <v>175</v>
      </c>
      <c r="T67">
        <f>(S67+1)/B67</f>
        <v>0.53333333333333333</v>
      </c>
      <c r="U67">
        <v>81681.069540322394</v>
      </c>
      <c r="V67">
        <f>U67/F67</f>
        <v>1.3455206350846396</v>
      </c>
      <c r="W67">
        <v>1.0534424999495899</v>
      </c>
      <c r="X67" t="str">
        <f>IF(H67=MIN(H67,P67,U67),"Christofides",IF(P67=MIN(H67,P67,U67),"Arithmetic Series","Nearest Neighbor"))</f>
        <v>Christofides</v>
      </c>
      <c r="Y67">
        <f>MIN(H67,P67,U67)</f>
        <v>81052.576823943396</v>
      </c>
      <c r="Z67">
        <f>Y67/F67</f>
        <v>1.3351675640040646</v>
      </c>
      <c r="AA67">
        <v>4200</v>
      </c>
      <c r="AB67">
        <v>4254</v>
      </c>
      <c r="AC67">
        <f>AA67/AB67</f>
        <v>0.98730606488011285</v>
      </c>
      <c r="AD67">
        <v>0</v>
      </c>
      <c r="AE67">
        <v>81052.576823943498</v>
      </c>
      <c r="AF67">
        <v>46</v>
      </c>
      <c r="AG67">
        <f>AF67/AB67</f>
        <v>1.0813352139163141E-2</v>
      </c>
      <c r="AH67" s="1">
        <v>1.0186340659856701E-10</v>
      </c>
      <c r="AI67" s="4">
        <v>80628.242464853305</v>
      </c>
      <c r="AJ67" s="4">
        <v>4096</v>
      </c>
      <c r="AK67" s="4">
        <f>AJ67/AB67</f>
        <v>0.96285848613070046</v>
      </c>
      <c r="AL67">
        <v>80407.986282544007</v>
      </c>
      <c r="AM67">
        <f>AL67/F67</f>
        <v>1.324549315742696</v>
      </c>
      <c r="AN67">
        <v>0.62796420000085995</v>
      </c>
      <c r="AO67">
        <v>1</v>
      </c>
      <c r="AP67">
        <f>AO67/10</f>
        <v>0.1</v>
      </c>
      <c r="AQ67">
        <v>81052.576823943396</v>
      </c>
      <c r="AR67">
        <f>AQ67/F67</f>
        <v>1.3351675640040646</v>
      </c>
      <c r="AS67">
        <v>33.256239199996301</v>
      </c>
      <c r="AT67">
        <v>37</v>
      </c>
      <c r="AU67">
        <f>AT67/100</f>
        <v>0.37</v>
      </c>
      <c r="AV67">
        <v>80837.499551468296</v>
      </c>
      <c r="AW67">
        <f>AV67/F67</f>
        <v>1.3316246267007019</v>
      </c>
      <c r="AX67">
        <v>21.949240399990199</v>
      </c>
      <c r="AY67" t="str">
        <f>IF(AL67=MIN(AL67,AQ67,AV67),"Simulated Annealing",IF(AQ67=MIN(AL67,AQ67,AV67),"Ant Colony Optimization","Genetic Algorithm"))</f>
        <v>Simulated Annealing</v>
      </c>
      <c r="AZ67">
        <f>MIN(AL67,AQ67,AV67)</f>
        <v>80407.986282544007</v>
      </c>
      <c r="BA67">
        <f>AZ67/F67</f>
        <v>1.324549315742696</v>
      </c>
      <c r="BB67">
        <v>70856.183676522996</v>
      </c>
      <c r="BC67">
        <f>BB67/F67</f>
        <v>1.1672038306629253</v>
      </c>
      <c r="BD67">
        <v>9.6000000000000002E-2</v>
      </c>
      <c r="BE67">
        <v>5</v>
      </c>
      <c r="BF67">
        <v>5.0819999999999999</v>
      </c>
    </row>
    <row r="68" spans="1:58" x14ac:dyDescent="0.3">
      <c r="A68">
        <v>94</v>
      </c>
      <c r="B68">
        <v>335</v>
      </c>
      <c r="C68">
        <v>0.122764807547873</v>
      </c>
      <c r="D68">
        <v>1.6907768589913901</v>
      </c>
      <c r="E68">
        <f>SQRT(D68)</f>
        <v>1.300298757590497</v>
      </c>
      <c r="F68">
        <v>62390.176855267797</v>
      </c>
      <c r="G68">
        <v>3.6669391000177698</v>
      </c>
      <c r="H68">
        <v>84634.366796752103</v>
      </c>
      <c r="I68">
        <f>H68/F68</f>
        <v>1.3565335291978124</v>
      </c>
      <c r="J68">
        <v>0.61624170001596201</v>
      </c>
      <c r="K68">
        <v>801620.64278135495</v>
      </c>
      <c r="L68" t="s">
        <v>44</v>
      </c>
      <c r="M68">
        <v>0</v>
      </c>
      <c r="N68">
        <v>174</v>
      </c>
      <c r="O68">
        <f>(N68+1)/B68</f>
        <v>0.52238805970149249</v>
      </c>
      <c r="P68">
        <v>88886.216498648195</v>
      </c>
      <c r="Q68">
        <f>P68/F68</f>
        <v>1.4246828744346356</v>
      </c>
      <c r="R68">
        <v>3.6669391000177698</v>
      </c>
      <c r="S68">
        <v>10</v>
      </c>
      <c r="T68">
        <f>(S68+1)/B68</f>
        <v>3.2835820895522387E-2</v>
      </c>
      <c r="U68">
        <v>82564.542151779504</v>
      </c>
      <c r="V68">
        <f>U68/F68</f>
        <v>1.3233580398932356</v>
      </c>
      <c r="W68">
        <v>1.06243799999356</v>
      </c>
      <c r="X68" t="str">
        <f>IF(H68=MIN(H68,P68,U68),"Christofides",IF(P68=MIN(H68,P68,U68),"Arithmetic Series","Nearest Neighbor"))</f>
        <v>Nearest Neighbor</v>
      </c>
      <c r="Y68">
        <f>MIN(H68,P68,U68)</f>
        <v>82564.542151779504</v>
      </c>
      <c r="Z68">
        <f>Y68/F68</f>
        <v>1.3233580398932356</v>
      </c>
      <c r="AA68">
        <v>3853</v>
      </c>
      <c r="AB68">
        <v>4255</v>
      </c>
      <c r="AC68">
        <f>AA68/AB68</f>
        <v>0.90552291421856634</v>
      </c>
      <c r="AD68">
        <v>0</v>
      </c>
      <c r="AE68">
        <v>82434.594170508499</v>
      </c>
      <c r="AF68">
        <v>131</v>
      </c>
      <c r="AG68">
        <f>AF68/AB68</f>
        <v>3.0787309048178613E-2</v>
      </c>
      <c r="AH68" s="1">
        <v>7.2759576141834194E-11</v>
      </c>
      <c r="AI68" s="4">
        <v>82434.594170508499</v>
      </c>
      <c r="AJ68" s="4">
        <v>208</v>
      </c>
      <c r="AK68" s="4">
        <f>AJ68/AB68</f>
        <v>4.8883666274970622E-2</v>
      </c>
      <c r="AL68">
        <v>80751.897398576504</v>
      </c>
      <c r="AM68">
        <f>AL68/F68</f>
        <v>1.2943046721265765</v>
      </c>
      <c r="AN68">
        <v>0.60288069996749905</v>
      </c>
      <c r="AO68">
        <v>9</v>
      </c>
      <c r="AP68">
        <f>AO68/10</f>
        <v>0.9</v>
      </c>
      <c r="AQ68">
        <v>81950.404547895407</v>
      </c>
      <c r="AR68">
        <f>AQ68/F68</f>
        <v>1.3135145415279597</v>
      </c>
      <c r="AS68">
        <v>29.864040200016401</v>
      </c>
      <c r="AT68">
        <v>96</v>
      </c>
      <c r="AU68">
        <f>AT68/100</f>
        <v>0.96</v>
      </c>
      <c r="AV68">
        <v>82174.359306421597</v>
      </c>
      <c r="AW68">
        <f>AV68/F68</f>
        <v>1.3171041251742077</v>
      </c>
      <c r="AX68">
        <v>23.1371813999721</v>
      </c>
      <c r="AY68" t="str">
        <f>IF(AL68=MIN(AL68,AQ68,AV68),"Simulated Annealing",IF(AQ68=MIN(AL68,AQ68,AV68),"Ant Colony Optimization","Genetic Algorithm"))</f>
        <v>Simulated Annealing</v>
      </c>
      <c r="AZ68">
        <f>MIN(AL68,AQ68,AV68)</f>
        <v>80751.897398576504</v>
      </c>
      <c r="BA68">
        <f>AZ68/F68</f>
        <v>1.2943046721265765</v>
      </c>
      <c r="BB68">
        <v>74467.920791945595</v>
      </c>
      <c r="BC68">
        <f>BB68/F68</f>
        <v>1.1935840631562185</v>
      </c>
      <c r="BD68">
        <v>0.112</v>
      </c>
      <c r="BE68">
        <v>5</v>
      </c>
      <c r="BF68">
        <v>5.0570000000000004</v>
      </c>
    </row>
    <row r="69" spans="1:58" x14ac:dyDescent="0.3">
      <c r="A69">
        <v>34</v>
      </c>
      <c r="B69">
        <v>340</v>
      </c>
      <c r="C69">
        <v>0.113089355364967</v>
      </c>
      <c r="D69">
        <v>0.32561765238984502</v>
      </c>
      <c r="E69">
        <f>SQRT(D69)</f>
        <v>0.57062917239643907</v>
      </c>
      <c r="F69">
        <v>62699.895178790197</v>
      </c>
      <c r="G69">
        <v>3.87054120004177</v>
      </c>
      <c r="H69">
        <v>83175.417415614196</v>
      </c>
      <c r="I69">
        <f>H69/F69</f>
        <v>1.3265638990055337</v>
      </c>
      <c r="J69">
        <v>0.63875719999487002</v>
      </c>
      <c r="K69">
        <v>828232.39833502704</v>
      </c>
      <c r="L69" t="s">
        <v>44</v>
      </c>
      <c r="M69">
        <v>0</v>
      </c>
      <c r="N69">
        <v>173</v>
      </c>
      <c r="O69">
        <f>(N69+1)/B69</f>
        <v>0.5117647058823529</v>
      </c>
      <c r="P69">
        <v>88258.768849708096</v>
      </c>
      <c r="Q69">
        <f>P69/F69</f>
        <v>1.4076382200964799</v>
      </c>
      <c r="R69">
        <v>3.87054120004177</v>
      </c>
      <c r="S69">
        <v>158</v>
      </c>
      <c r="T69">
        <f>(S69+1)/B69</f>
        <v>0.46764705882352942</v>
      </c>
      <c r="U69">
        <v>84885.342168064701</v>
      </c>
      <c r="V69">
        <f>U69/F69</f>
        <v>1.353835471750187</v>
      </c>
      <c r="W69">
        <v>1.1033740000566401</v>
      </c>
      <c r="X69" t="str">
        <f>IF(H69=MIN(H69,P69,U69),"Christofides",IF(P69=MIN(H69,P69,U69),"Arithmetic Series","Nearest Neighbor"))</f>
        <v>Christofides</v>
      </c>
      <c r="Y69">
        <f>MIN(H69,P69,U69)</f>
        <v>83175.417415614196</v>
      </c>
      <c r="Z69">
        <f>Y69/F69</f>
        <v>1.3265638990055337</v>
      </c>
      <c r="AA69">
        <v>3560</v>
      </c>
      <c r="AB69">
        <v>4257</v>
      </c>
      <c r="AC69">
        <f>AA69/AB69</f>
        <v>0.83626967347897585</v>
      </c>
      <c r="AD69">
        <v>0</v>
      </c>
      <c r="AE69">
        <v>82981.302599518094</v>
      </c>
      <c r="AF69">
        <v>1179</v>
      </c>
      <c r="AG69">
        <f>AF69/AB69</f>
        <v>0.27695560253699791</v>
      </c>
      <c r="AH69" s="1">
        <v>7.2759576141834194E-11</v>
      </c>
      <c r="AI69" s="4">
        <v>82837.660484241394</v>
      </c>
      <c r="AJ69" s="4">
        <v>2582</v>
      </c>
      <c r="AK69" s="4">
        <f>AJ69/AB69</f>
        <v>0.60653042048390882</v>
      </c>
      <c r="AL69">
        <v>82735.673591083498</v>
      </c>
      <c r="AM69">
        <f>AL69/F69</f>
        <v>1.3195504291540012</v>
      </c>
      <c r="AN69">
        <v>0.57593590000760697</v>
      </c>
      <c r="AO69">
        <v>9</v>
      </c>
      <c r="AP69">
        <f>AO69/10</f>
        <v>0.9</v>
      </c>
      <c r="AQ69">
        <v>81042.672229966207</v>
      </c>
      <c r="AR69">
        <f>AQ69/F69</f>
        <v>1.2925487674081617</v>
      </c>
      <c r="AS69">
        <v>34.566423800002603</v>
      </c>
      <c r="AT69">
        <v>100</v>
      </c>
      <c r="AU69">
        <f>AT69/100</f>
        <v>1</v>
      </c>
      <c r="AV69">
        <v>82964.9625657141</v>
      </c>
      <c r="AW69">
        <f>AV69/F69</f>
        <v>1.3232073567130789</v>
      </c>
      <c r="AX69">
        <v>23.989948500005902</v>
      </c>
      <c r="AY69" t="str">
        <f>IF(AL69=MIN(AL69,AQ69,AV69),"Simulated Annealing",IF(AQ69=MIN(AL69,AQ69,AV69),"Ant Colony Optimization","Genetic Algorithm"))</f>
        <v>Ant Colony Optimization</v>
      </c>
      <c r="AZ69">
        <f>MIN(AL69,AQ69,AV69)</f>
        <v>81042.672229966207</v>
      </c>
      <c r="BA69">
        <f>AZ69/F69</f>
        <v>1.2925487674081617</v>
      </c>
      <c r="BB69">
        <v>73077.188505315004</v>
      </c>
      <c r="BC69">
        <f>BB69/F69</f>
        <v>1.1655073472919486</v>
      </c>
      <c r="BD69">
        <v>9.6000000000000002E-2</v>
      </c>
      <c r="BE69">
        <v>5</v>
      </c>
      <c r="BF69">
        <v>5.0990000000000002</v>
      </c>
    </row>
    <row r="70" spans="1:58" x14ac:dyDescent="0.3">
      <c r="A70">
        <v>95</v>
      </c>
      <c r="B70">
        <v>345</v>
      </c>
      <c r="C70">
        <v>0.11156874062906801</v>
      </c>
      <c r="D70">
        <v>0.28654891427454399</v>
      </c>
      <c r="E70">
        <f>SQRT(D70)</f>
        <v>0.53530263802315037</v>
      </c>
      <c r="F70">
        <v>62932.196714278703</v>
      </c>
      <c r="G70">
        <v>4.03448279999429</v>
      </c>
      <c r="H70">
        <v>83595.079993595005</v>
      </c>
      <c r="I70">
        <f>H70/F70</f>
        <v>1.3283356430910682</v>
      </c>
      <c r="J70">
        <v>0.67429200001060896</v>
      </c>
      <c r="K70">
        <v>855313.27304472297</v>
      </c>
      <c r="L70" t="s">
        <v>44</v>
      </c>
      <c r="M70">
        <v>1</v>
      </c>
      <c r="N70">
        <v>158</v>
      </c>
      <c r="O70">
        <f>(N70+1)/B70</f>
        <v>0.46086956521739131</v>
      </c>
      <c r="P70">
        <v>87413.429378880799</v>
      </c>
      <c r="Q70">
        <f>P70/F70</f>
        <v>1.3890096634597142</v>
      </c>
      <c r="R70">
        <v>4.03448279999429</v>
      </c>
      <c r="S70">
        <v>264</v>
      </c>
      <c r="T70">
        <f>(S70+1)/B70</f>
        <v>0.76811594202898548</v>
      </c>
      <c r="U70">
        <v>82115.613435771404</v>
      </c>
      <c r="V70">
        <f>U70/F70</f>
        <v>1.304826745657524</v>
      </c>
      <c r="W70">
        <v>1.15162000001873</v>
      </c>
      <c r="X70" t="str">
        <f>IF(H70=MIN(H70,P70,U70),"Christofides",IF(P70=MIN(H70,P70,U70),"Arithmetic Series","Nearest Neighbor"))</f>
        <v>Nearest Neighbor</v>
      </c>
      <c r="Y70">
        <f>MIN(H70,P70,U70)</f>
        <v>82115.613435771404</v>
      </c>
      <c r="Z70">
        <f>Y70/F70</f>
        <v>1.304826745657524</v>
      </c>
      <c r="AA70">
        <v>2177</v>
      </c>
      <c r="AB70">
        <v>4258</v>
      </c>
      <c r="AC70">
        <f>AA70/AB70</f>
        <v>0.51127289807421328</v>
      </c>
      <c r="AD70">
        <v>0</v>
      </c>
      <c r="AE70">
        <v>82004.453487001898</v>
      </c>
      <c r="AF70">
        <v>485</v>
      </c>
      <c r="AG70">
        <f>AF70/AB70</f>
        <v>0.11390324095819633</v>
      </c>
      <c r="AH70" s="1">
        <v>1.45519152283668E-10</v>
      </c>
      <c r="AI70" s="4">
        <v>81980.1312247717</v>
      </c>
      <c r="AJ70" s="4">
        <v>981</v>
      </c>
      <c r="AK70" s="4">
        <f>AJ70/AB70</f>
        <v>0.23038985439173321</v>
      </c>
      <c r="AL70">
        <v>81507.068042750194</v>
      </c>
      <c r="AM70">
        <f>AL70/F70</f>
        <v>1.2951568878614566</v>
      </c>
      <c r="AN70">
        <v>0.627328300033696</v>
      </c>
      <c r="AO70">
        <v>0</v>
      </c>
      <c r="AP70">
        <f>AO70/10</f>
        <v>0</v>
      </c>
      <c r="AQ70">
        <v>82115.613435771404</v>
      </c>
      <c r="AR70">
        <f>AQ70/F70</f>
        <v>1.304826745657524</v>
      </c>
      <c r="AS70">
        <v>32.282088699983397</v>
      </c>
      <c r="AT70">
        <v>10</v>
      </c>
      <c r="AU70">
        <f>AT70/100</f>
        <v>0.1</v>
      </c>
      <c r="AV70">
        <v>82089.013475338303</v>
      </c>
      <c r="AW70">
        <f>AV70/F70</f>
        <v>1.3044040691608831</v>
      </c>
      <c r="AX70">
        <v>25.158766800013801</v>
      </c>
      <c r="AY70" t="str">
        <f>IF(AL70=MIN(AL70,AQ70,AV70),"Simulated Annealing",IF(AQ70=MIN(AL70,AQ70,AV70),"Ant Colony Optimization","Genetic Algorithm"))</f>
        <v>Simulated Annealing</v>
      </c>
      <c r="AZ70">
        <f>MIN(AL70,AQ70,AV70)</f>
        <v>81507.068042750194</v>
      </c>
      <c r="BA70">
        <f>AZ70/F70</f>
        <v>1.2951568878614566</v>
      </c>
      <c r="BB70">
        <v>74550.503191412296</v>
      </c>
      <c r="BC70">
        <f>BB70/F70</f>
        <v>1.1846162550130324</v>
      </c>
      <c r="BD70">
        <v>0.112</v>
      </c>
      <c r="BE70">
        <v>5</v>
      </c>
      <c r="BF70">
        <v>5</v>
      </c>
    </row>
    <row r="71" spans="1:58" x14ac:dyDescent="0.3">
      <c r="A71">
        <v>35</v>
      </c>
      <c r="B71">
        <v>350</v>
      </c>
      <c r="C71">
        <v>0.111659946736681</v>
      </c>
      <c r="D71">
        <v>0.50802159958231297</v>
      </c>
      <c r="E71">
        <f>SQRT(D71)</f>
        <v>0.7127563395595391</v>
      </c>
      <c r="F71">
        <v>64837.299956667201</v>
      </c>
      <c r="G71">
        <v>4.4133817000547397</v>
      </c>
      <c r="H71">
        <v>84194.477572659904</v>
      </c>
      <c r="I71">
        <f>H71/F71</f>
        <v>1.2985500264343166</v>
      </c>
      <c r="J71">
        <v>0.68532950000371695</v>
      </c>
      <c r="K71">
        <v>882857.20576006698</v>
      </c>
      <c r="L71" t="s">
        <v>44</v>
      </c>
      <c r="M71">
        <v>0</v>
      </c>
      <c r="N71">
        <v>105</v>
      </c>
      <c r="O71">
        <f>(N71+1)/B71</f>
        <v>0.30285714285714288</v>
      </c>
      <c r="P71">
        <v>89131.629510718703</v>
      </c>
      <c r="Q71">
        <f>P71/F71</f>
        <v>1.3746968114077571</v>
      </c>
      <c r="R71">
        <v>4.4133817000547397</v>
      </c>
      <c r="S71">
        <v>250</v>
      </c>
      <c r="T71">
        <f>(S71+1)/B71</f>
        <v>0.71714285714285719</v>
      </c>
      <c r="U71">
        <v>85816.692421758198</v>
      </c>
      <c r="V71">
        <f>U71/F71</f>
        <v>1.3235698044044428</v>
      </c>
      <c r="W71">
        <v>1.1836474000010599</v>
      </c>
      <c r="X71" t="str">
        <f>IF(H71=MIN(H71,P71,U71),"Christofides",IF(P71=MIN(H71,P71,U71),"Arithmetic Series","Nearest Neighbor"))</f>
        <v>Christofides</v>
      </c>
      <c r="Y71">
        <f>MIN(H71,P71,U71)</f>
        <v>84194.477572659904</v>
      </c>
      <c r="Z71">
        <f>Y71/F71</f>
        <v>1.2985500264343166</v>
      </c>
      <c r="AA71">
        <v>3864</v>
      </c>
      <c r="AB71">
        <v>4260</v>
      </c>
      <c r="AC71">
        <f>AA71/AB71</f>
        <v>0.90704225352112677</v>
      </c>
      <c r="AD71">
        <v>0</v>
      </c>
      <c r="AE71">
        <v>83676.488157528802</v>
      </c>
      <c r="AF71">
        <v>1214</v>
      </c>
      <c r="AG71">
        <f>AF71/AB71</f>
        <v>0.28497652582159627</v>
      </c>
      <c r="AH71" s="1">
        <v>1.7462298274040199E-10</v>
      </c>
      <c r="AI71" s="4">
        <v>83676.488157528802</v>
      </c>
      <c r="AJ71" s="4">
        <v>1214</v>
      </c>
      <c r="AK71" s="4">
        <f>AJ71/AB71</f>
        <v>0.28497652582159627</v>
      </c>
      <c r="AL71">
        <v>83365.059611054603</v>
      </c>
      <c r="AM71">
        <f>AL71/F71</f>
        <v>1.2857577299913798</v>
      </c>
      <c r="AN71">
        <v>0.62208339999779105</v>
      </c>
      <c r="AO71">
        <v>0</v>
      </c>
      <c r="AP71">
        <f>AO71/10</f>
        <v>0</v>
      </c>
      <c r="AQ71">
        <v>84194.477572659904</v>
      </c>
      <c r="AR71">
        <f>AQ71/F71</f>
        <v>1.2985500264343166</v>
      </c>
      <c r="AS71">
        <v>38.959539100003802</v>
      </c>
      <c r="AT71">
        <v>83</v>
      </c>
      <c r="AU71">
        <f>AT71/100</f>
        <v>0.83</v>
      </c>
      <c r="AV71">
        <v>83792.240506161805</v>
      </c>
      <c r="AW71">
        <f>AV71/F71</f>
        <v>1.2923462353022532</v>
      </c>
      <c r="AX71">
        <v>25.356576599995599</v>
      </c>
      <c r="AY71" t="str">
        <f>IF(AL71=MIN(AL71,AQ71,AV71),"Simulated Annealing",IF(AQ71=MIN(AL71,AQ71,AV71),"Ant Colony Optimization","Genetic Algorithm"))</f>
        <v>Simulated Annealing</v>
      </c>
      <c r="AZ71">
        <f>MIN(AL71,AQ71,AV71)</f>
        <v>83365.059611054603</v>
      </c>
      <c r="BA71">
        <f>AZ71/F71</f>
        <v>1.2857577299913798</v>
      </c>
      <c r="BB71">
        <v>77714.565009976199</v>
      </c>
      <c r="BC71">
        <f>BB71/F71</f>
        <v>1.1986089035464969</v>
      </c>
      <c r="BD71">
        <v>9.6000000000000002E-2</v>
      </c>
      <c r="BE71">
        <v>5</v>
      </c>
      <c r="BF71">
        <v>5</v>
      </c>
    </row>
    <row r="72" spans="1:58" x14ac:dyDescent="0.3">
      <c r="A72">
        <v>96</v>
      </c>
      <c r="B72">
        <v>355</v>
      </c>
      <c r="C72">
        <v>0.106603537848622</v>
      </c>
      <c r="D72">
        <v>0.47548771738720702</v>
      </c>
      <c r="E72">
        <f>SQRT(D72)</f>
        <v>0.68955617420715409</v>
      </c>
      <c r="F72">
        <v>62235.141763327301</v>
      </c>
      <c r="G72">
        <v>4.64627999998629</v>
      </c>
      <c r="H72">
        <v>84421.963184701599</v>
      </c>
      <c r="I72">
        <f>H72/F72</f>
        <v>1.3564998936733861</v>
      </c>
      <c r="J72">
        <v>0.72038760001305402</v>
      </c>
      <c r="K72">
        <v>910875.18825730495</v>
      </c>
      <c r="L72" t="s">
        <v>44</v>
      </c>
      <c r="M72">
        <v>0</v>
      </c>
      <c r="N72">
        <v>103</v>
      </c>
      <c r="O72">
        <f>(N72+1)/B72</f>
        <v>0.29295774647887324</v>
      </c>
      <c r="P72">
        <v>87750.487870796103</v>
      </c>
      <c r="Q72">
        <f>P72/F72</f>
        <v>1.4099829354370328</v>
      </c>
      <c r="R72">
        <v>4.64627999998629</v>
      </c>
      <c r="S72">
        <v>44</v>
      </c>
      <c r="T72">
        <f>(S72+1)/B72</f>
        <v>0.12676056338028169</v>
      </c>
      <c r="U72">
        <v>82973.263926414598</v>
      </c>
      <c r="V72">
        <f>U72/F72</f>
        <v>1.333222060326493</v>
      </c>
      <c r="W72">
        <v>1.20206749998033</v>
      </c>
      <c r="X72" t="str">
        <f>IF(H72=MIN(H72,P72,U72),"Christofides",IF(P72=MIN(H72,P72,U72),"Arithmetic Series","Nearest Neighbor"))</f>
        <v>Nearest Neighbor</v>
      </c>
      <c r="Y72">
        <f>MIN(H72,P72,U72)</f>
        <v>82973.263926414598</v>
      </c>
      <c r="Z72">
        <f>Y72/F72</f>
        <v>1.333222060326493</v>
      </c>
      <c r="AA72">
        <v>4238</v>
      </c>
      <c r="AB72">
        <v>4261</v>
      </c>
      <c r="AC72">
        <f>AA72/AB72</f>
        <v>0.99460220605491667</v>
      </c>
      <c r="AD72">
        <v>0</v>
      </c>
      <c r="AE72">
        <v>82166.157135712594</v>
      </c>
      <c r="AF72">
        <v>2901</v>
      </c>
      <c r="AG72">
        <f>AF72/AB72</f>
        <v>0.68082609716029097</v>
      </c>
      <c r="AH72" s="1">
        <v>2.91038304567337E-11</v>
      </c>
      <c r="AI72" s="4">
        <v>82166.157135712594</v>
      </c>
      <c r="AJ72" s="4">
        <v>2901</v>
      </c>
      <c r="AK72" s="4">
        <f>AJ72/AB72</f>
        <v>0.68082609716029097</v>
      </c>
      <c r="AL72">
        <v>81845.627808892605</v>
      </c>
      <c r="AM72">
        <f>AL72/F72</f>
        <v>1.3151030991484136</v>
      </c>
      <c r="AN72">
        <v>0.62099689996102803</v>
      </c>
      <c r="AO72">
        <v>3</v>
      </c>
      <c r="AP72">
        <f>AO72/10</f>
        <v>0.3</v>
      </c>
      <c r="AQ72">
        <v>81377.508360169406</v>
      </c>
      <c r="AR72">
        <f>AQ72/F72</f>
        <v>1.3075813126551266</v>
      </c>
      <c r="AS72">
        <v>34.775159999960998</v>
      </c>
      <c r="AT72">
        <v>81</v>
      </c>
      <c r="AU72">
        <f>AT72/100</f>
        <v>0.81</v>
      </c>
      <c r="AV72">
        <v>82357.605604701501</v>
      </c>
      <c r="AW72">
        <f>AV72/F72</f>
        <v>1.3233296056092791</v>
      </c>
      <c r="AX72">
        <v>27.7319352999911</v>
      </c>
      <c r="AY72" t="str">
        <f>IF(AL72=MIN(AL72,AQ72,AV72),"Simulated Annealing",IF(AQ72=MIN(AL72,AQ72,AV72),"Ant Colony Optimization","Genetic Algorithm"))</f>
        <v>Ant Colony Optimization</v>
      </c>
      <c r="AZ72">
        <f>MIN(AL72,AQ72,AV72)</f>
        <v>81377.508360169406</v>
      </c>
      <c r="BA72">
        <f>AZ72/F72</f>
        <v>1.3075813126551266</v>
      </c>
      <c r="BB72">
        <v>74377.036561443994</v>
      </c>
      <c r="BC72">
        <f>BB72/F72</f>
        <v>1.1950970858922576</v>
      </c>
      <c r="BD72">
        <v>0.112</v>
      </c>
      <c r="BE72">
        <v>5</v>
      </c>
      <c r="BF72">
        <v>5</v>
      </c>
    </row>
    <row r="73" spans="1:58" x14ac:dyDescent="0.3">
      <c r="A73">
        <v>36</v>
      </c>
      <c r="B73">
        <v>360</v>
      </c>
      <c r="C73">
        <v>0.104029357928123</v>
      </c>
      <c r="D73">
        <v>0.76451277831362197</v>
      </c>
      <c r="E73">
        <f>SQRT(D73)</f>
        <v>0.87436421376542051</v>
      </c>
      <c r="F73">
        <v>63338.904100104803</v>
      </c>
      <c r="G73">
        <v>4.6907778999302501</v>
      </c>
      <c r="H73">
        <v>84362.245315869906</v>
      </c>
      <c r="I73">
        <f>H73/F73</f>
        <v>1.3319182975211963</v>
      </c>
      <c r="J73">
        <v>0.75197300000581802</v>
      </c>
      <c r="K73">
        <v>939367.07965197996</v>
      </c>
      <c r="L73" t="s">
        <v>44</v>
      </c>
      <c r="M73" t="s">
        <v>37</v>
      </c>
      <c r="N73">
        <v>200</v>
      </c>
      <c r="O73">
        <f>(N73+1)/B73</f>
        <v>0.55833333333333335</v>
      </c>
      <c r="P73">
        <v>87981.748111787398</v>
      </c>
      <c r="Q73">
        <f>P73/F73</f>
        <v>1.3890633152214868</v>
      </c>
      <c r="R73">
        <v>4.6907778999302501</v>
      </c>
      <c r="S73">
        <v>169</v>
      </c>
      <c r="T73">
        <f>(S73+1)/B73</f>
        <v>0.47222222222222221</v>
      </c>
      <c r="U73">
        <v>84918.763086092105</v>
      </c>
      <c r="V73">
        <f>U73/F73</f>
        <v>1.3407046473661928</v>
      </c>
      <c r="W73">
        <v>1.32650810002814</v>
      </c>
      <c r="X73" t="str">
        <f>IF(H73=MIN(H73,P73,U73),"Christofides",IF(P73=MIN(H73,P73,U73),"Arithmetic Series","Nearest Neighbor"))</f>
        <v>Christofides</v>
      </c>
      <c r="Y73">
        <f>MIN(H73,P73,U73)</f>
        <v>84362.245315869906</v>
      </c>
      <c r="Z73">
        <f>Y73/F73</f>
        <v>1.3319182975211963</v>
      </c>
      <c r="AA73">
        <v>3931</v>
      </c>
      <c r="AB73">
        <v>4263</v>
      </c>
      <c r="AC73">
        <f>AA73/AB73</f>
        <v>0.92212057236687783</v>
      </c>
      <c r="AD73">
        <v>0</v>
      </c>
      <c r="AE73">
        <v>83838.105191343304</v>
      </c>
      <c r="AF73">
        <v>778</v>
      </c>
      <c r="AG73">
        <f>AF73/AB73</f>
        <v>0.18250058644147313</v>
      </c>
      <c r="AH73" s="1">
        <v>1.45519152283668E-11</v>
      </c>
      <c r="AI73" s="4">
        <v>83838.105191343304</v>
      </c>
      <c r="AJ73" s="4">
        <v>1158</v>
      </c>
      <c r="AK73" s="4">
        <f>AJ73/AB73</f>
        <v>0.27163969035890217</v>
      </c>
      <c r="AL73">
        <v>83216.4512476901</v>
      </c>
      <c r="AM73">
        <f>AL73/F73</f>
        <v>1.3138284034117416</v>
      </c>
      <c r="AN73">
        <v>0.85604689999308903</v>
      </c>
      <c r="AO73">
        <v>5</v>
      </c>
      <c r="AP73">
        <f>AO73/10</f>
        <v>0.5</v>
      </c>
      <c r="AQ73">
        <v>82159.708589328104</v>
      </c>
      <c r="AR73">
        <f>AQ73/F73</f>
        <v>1.2971444605274147</v>
      </c>
      <c r="AS73">
        <v>42.852746699994803</v>
      </c>
      <c r="AT73">
        <v>16</v>
      </c>
      <c r="AU73">
        <f>AT73/100</f>
        <v>0.16</v>
      </c>
      <c r="AV73">
        <v>84313.508152370603</v>
      </c>
      <c r="AW73">
        <f>AV73/F73</f>
        <v>1.3311488310425488</v>
      </c>
      <c r="AX73">
        <v>27.640937000003699</v>
      </c>
      <c r="AY73" t="str">
        <f>IF(AL73=MIN(AL73,AQ73,AV73),"Simulated Annealing",IF(AQ73=MIN(AL73,AQ73,AV73),"Ant Colony Optimization","Genetic Algorithm"))</f>
        <v>Ant Colony Optimization</v>
      </c>
      <c r="AZ73">
        <f>MIN(AL73,AQ73,AV73)</f>
        <v>82159.708589328104</v>
      </c>
      <c r="BA73">
        <f>AZ73/F73</f>
        <v>1.2971444605274147</v>
      </c>
      <c r="BB73">
        <v>75686.979066742599</v>
      </c>
      <c r="BC73">
        <f>BB73/F73</f>
        <v>1.1949524568205683</v>
      </c>
      <c r="BD73">
        <v>0.112</v>
      </c>
      <c r="BE73">
        <v>5</v>
      </c>
      <c r="BF73">
        <v>5.0010000000000003</v>
      </c>
    </row>
    <row r="74" spans="1:58" x14ac:dyDescent="0.3">
      <c r="A74">
        <v>97</v>
      </c>
      <c r="B74">
        <v>365</v>
      </c>
      <c r="C74">
        <v>0.10264465463339199</v>
      </c>
      <c r="D74">
        <v>0.887118334148982</v>
      </c>
      <c r="E74">
        <f>SQRT(D74)</f>
        <v>0.94186959508680501</v>
      </c>
      <c r="F74">
        <v>63682.353122949098</v>
      </c>
      <c r="G74">
        <v>4.8632576999952999</v>
      </c>
      <c r="H74">
        <v>86058.737014269893</v>
      </c>
      <c r="I74">
        <f>H74/F74</f>
        <v>1.3513749538764619</v>
      </c>
      <c r="J74">
        <v>0.77532890002475996</v>
      </c>
      <c r="K74">
        <v>968326.25341363903</v>
      </c>
      <c r="L74" t="s">
        <v>44</v>
      </c>
      <c r="M74">
        <v>0</v>
      </c>
      <c r="N74">
        <v>94</v>
      </c>
      <c r="O74">
        <f>(N74+1)/B74</f>
        <v>0.26027397260273971</v>
      </c>
      <c r="P74">
        <v>88710.408323115102</v>
      </c>
      <c r="Q74">
        <f>P74/F74</f>
        <v>1.3930139822541621</v>
      </c>
      <c r="R74">
        <v>4.8632576999952999</v>
      </c>
      <c r="S74">
        <v>198</v>
      </c>
      <c r="T74">
        <f>(S74+1)/B74</f>
        <v>0.54520547945205478</v>
      </c>
      <c r="U74">
        <v>85132.139984008201</v>
      </c>
      <c r="V74">
        <f>U74/F74</f>
        <v>1.3368246587817949</v>
      </c>
      <c r="W74">
        <v>1.32892250001896</v>
      </c>
      <c r="X74" t="str">
        <f>IF(H74=MIN(H74,P74,U74),"Christofides",IF(P74=MIN(H74,P74,U74),"Arithmetic Series","Nearest Neighbor"))</f>
        <v>Nearest Neighbor</v>
      </c>
      <c r="Y74">
        <f>MIN(H74,P74,U74)</f>
        <v>85132.139984008201</v>
      </c>
      <c r="Z74">
        <f>Y74/F74</f>
        <v>1.3368246587817949</v>
      </c>
      <c r="AA74">
        <v>4110</v>
      </c>
      <c r="AB74">
        <v>4264</v>
      </c>
      <c r="AC74">
        <f>AA74/AB74</f>
        <v>0.96388367729831148</v>
      </c>
      <c r="AD74">
        <v>0</v>
      </c>
      <c r="AE74">
        <v>85132.139984008303</v>
      </c>
      <c r="AF74">
        <v>8</v>
      </c>
      <c r="AG74">
        <f>AF74/AB74</f>
        <v>1.876172607879925E-3</v>
      </c>
      <c r="AH74" s="1">
        <v>4.3655745685100497E-11</v>
      </c>
      <c r="AI74" s="4">
        <v>85004.958995744193</v>
      </c>
      <c r="AJ74" s="4">
        <v>667</v>
      </c>
      <c r="AK74" s="4">
        <f>AJ74/AB74</f>
        <v>0.15642589118198874</v>
      </c>
      <c r="AL74">
        <v>84577.278381674696</v>
      </c>
      <c r="AM74">
        <f>AL74/F74</f>
        <v>1.3281117018145445</v>
      </c>
      <c r="AN74">
        <v>0.62681570003041998</v>
      </c>
      <c r="AO74">
        <v>1</v>
      </c>
      <c r="AP74">
        <f>AO74/10</f>
        <v>0.1</v>
      </c>
      <c r="AQ74">
        <v>85132.139984008201</v>
      </c>
      <c r="AR74">
        <f>AQ74/F74</f>
        <v>1.3368246587817949</v>
      </c>
      <c r="AS74">
        <v>36.944574300025103</v>
      </c>
      <c r="AT74">
        <v>96</v>
      </c>
      <c r="AU74">
        <f>AT74/100</f>
        <v>0.96</v>
      </c>
      <c r="AV74">
        <v>84715.123868865005</v>
      </c>
      <c r="AW74">
        <f>AV74/F74</f>
        <v>1.3302762808608648</v>
      </c>
      <c r="AX74">
        <v>29.9478718999889</v>
      </c>
      <c r="AY74" t="str">
        <f>IF(AL74=MIN(AL74,AQ74,AV74),"Simulated Annealing",IF(AQ74=MIN(AL74,AQ74,AV74),"Ant Colony Optimization","Genetic Algorithm"))</f>
        <v>Simulated Annealing</v>
      </c>
      <c r="AZ74">
        <f>MIN(AL74,AQ74,AV74)</f>
        <v>84577.278381674696</v>
      </c>
      <c r="BA74">
        <f>AZ74/F74</f>
        <v>1.3281117018145445</v>
      </c>
      <c r="BB74">
        <v>76713.250339089398</v>
      </c>
      <c r="BC74">
        <f>BB74/F74</f>
        <v>1.2046233623148637</v>
      </c>
      <c r="BD74">
        <v>0.112</v>
      </c>
      <c r="BE74">
        <v>5</v>
      </c>
      <c r="BF74">
        <v>5</v>
      </c>
    </row>
    <row r="75" spans="1:58" x14ac:dyDescent="0.3">
      <c r="A75">
        <v>37</v>
      </c>
      <c r="B75">
        <v>370</v>
      </c>
      <c r="C75">
        <v>9.8720969612408005E-2</v>
      </c>
      <c r="D75">
        <v>0.23123090556748899</v>
      </c>
      <c r="E75">
        <f>SQRT(D75)</f>
        <v>0.48086474768638321</v>
      </c>
      <c r="F75">
        <v>64337.588612287</v>
      </c>
      <c r="G75">
        <v>5.0207822999218399</v>
      </c>
      <c r="H75">
        <v>84619.7881972217</v>
      </c>
      <c r="I75">
        <f>H75/F75</f>
        <v>1.3152464993234338</v>
      </c>
      <c r="J75">
        <v>0.79230719999759402</v>
      </c>
      <c r="K75">
        <v>997759.62242767902</v>
      </c>
      <c r="L75" t="s">
        <v>44</v>
      </c>
      <c r="M75">
        <v>0</v>
      </c>
      <c r="N75">
        <v>359</v>
      </c>
      <c r="O75">
        <f>(N75+1)/B75</f>
        <v>0.97297297297297303</v>
      </c>
      <c r="P75">
        <v>87689.116474536204</v>
      </c>
      <c r="Q75">
        <f>P75/F75</f>
        <v>1.3629531097749223</v>
      </c>
      <c r="R75">
        <v>5.0207822999218399</v>
      </c>
      <c r="S75">
        <v>333</v>
      </c>
      <c r="T75">
        <f>(S75+1)/B75</f>
        <v>0.9027027027027027</v>
      </c>
      <c r="U75">
        <v>85515.129987761698</v>
      </c>
      <c r="V75">
        <f>U75/F75</f>
        <v>1.3291628087445957</v>
      </c>
      <c r="W75">
        <v>1.3894822000292999</v>
      </c>
      <c r="X75" t="str">
        <f>IF(H75=MIN(H75,P75,U75),"Christofides",IF(P75=MIN(H75,P75,U75),"Arithmetic Series","Nearest Neighbor"))</f>
        <v>Christofides</v>
      </c>
      <c r="Y75">
        <f>MIN(H75,P75,U75)</f>
        <v>84619.7881972217</v>
      </c>
      <c r="Z75">
        <f>Y75/F75</f>
        <v>1.3152464993234338</v>
      </c>
      <c r="AA75">
        <v>4159</v>
      </c>
      <c r="AB75">
        <v>4265</v>
      </c>
      <c r="AC75">
        <f>AA75/AB75</f>
        <v>0.97514654161781944</v>
      </c>
      <c r="AD75">
        <v>0</v>
      </c>
      <c r="AE75">
        <v>84630.865575376301</v>
      </c>
      <c r="AF75">
        <v>192</v>
      </c>
      <c r="AG75">
        <f>AF75/AB75</f>
        <v>4.5017584994138334E-2</v>
      </c>
      <c r="AH75">
        <v>11.0773781545867</v>
      </c>
      <c r="AI75" s="4">
        <v>84630.865575376301</v>
      </c>
      <c r="AJ75" s="4">
        <v>192</v>
      </c>
      <c r="AK75" s="4">
        <f>AJ75/AB75</f>
        <v>4.5017584994138334E-2</v>
      </c>
      <c r="AL75">
        <v>83652.812629037799</v>
      </c>
      <c r="AM75">
        <f>AL75/F75</f>
        <v>1.3002167851386031</v>
      </c>
      <c r="AN75">
        <v>0.92148070000985105</v>
      </c>
      <c r="AO75">
        <v>7</v>
      </c>
      <c r="AP75">
        <f>AO75/10</f>
        <v>0.7</v>
      </c>
      <c r="AQ75">
        <v>84361.586976679799</v>
      </c>
      <c r="AR75">
        <f>AQ75/F75</f>
        <v>1.3112332743003781</v>
      </c>
      <c r="AS75">
        <v>44.3860090999951</v>
      </c>
      <c r="AT75">
        <v>42</v>
      </c>
      <c r="AU75">
        <f>AT75/100</f>
        <v>0.42</v>
      </c>
      <c r="AV75">
        <v>84562.069458835103</v>
      </c>
      <c r="AW75">
        <f>AV75/F75</f>
        <v>1.3143493762009864</v>
      </c>
      <c r="AX75">
        <v>32.3365021000063</v>
      </c>
      <c r="AY75" t="str">
        <f>IF(AL75=MIN(AL75,AQ75,AV75),"Simulated Annealing",IF(AQ75=MIN(AL75,AQ75,AV75),"Ant Colony Optimization","Genetic Algorithm"))</f>
        <v>Simulated Annealing</v>
      </c>
      <c r="AZ75">
        <f>MIN(AL75,AQ75,AV75)</f>
        <v>83652.812629037799</v>
      </c>
      <c r="BA75">
        <f>AZ75/F75</f>
        <v>1.3002167851386031</v>
      </c>
      <c r="BB75">
        <v>77525.431616618996</v>
      </c>
      <c r="BC75">
        <f>BB75/F75</f>
        <v>1.204978820138954</v>
      </c>
      <c r="BD75">
        <v>9.6000000000000002E-2</v>
      </c>
      <c r="BE75">
        <v>5</v>
      </c>
      <c r="BF75">
        <v>5</v>
      </c>
    </row>
    <row r="76" spans="1:58" x14ac:dyDescent="0.3">
      <c r="A76">
        <v>98</v>
      </c>
      <c r="B76">
        <v>375</v>
      </c>
      <c r="C76">
        <v>9.6356849302816502E-2</v>
      </c>
      <c r="D76">
        <v>0.67296312285569704</v>
      </c>
      <c r="E76">
        <f>SQRT(D76)</f>
        <v>0.82034329573398546</v>
      </c>
      <c r="F76">
        <v>64776.917817306203</v>
      </c>
      <c r="G76">
        <v>5.2339466999983397</v>
      </c>
      <c r="H76">
        <v>87134.159263712805</v>
      </c>
      <c r="I76">
        <f>H76/F76</f>
        <v>1.3451420999909556</v>
      </c>
      <c r="J76">
        <v>0.81203949998598501</v>
      </c>
      <c r="K76">
        <v>1027662.06329293</v>
      </c>
      <c r="L76" t="s">
        <v>44</v>
      </c>
      <c r="M76">
        <v>1</v>
      </c>
      <c r="N76">
        <v>112</v>
      </c>
      <c r="O76">
        <f>(N76+1)/B76</f>
        <v>0.30133333333333334</v>
      </c>
      <c r="P76">
        <v>89129.708880988095</v>
      </c>
      <c r="Q76">
        <f>P76/F76</f>
        <v>1.3759485922495629</v>
      </c>
      <c r="R76">
        <v>5.2339466999983397</v>
      </c>
      <c r="S76">
        <v>88</v>
      </c>
      <c r="T76">
        <f>(S76+1)/B76</f>
        <v>0.23733333333333334</v>
      </c>
      <c r="U76">
        <v>86907.693072959504</v>
      </c>
      <c r="V76">
        <f>U76/F76</f>
        <v>1.3416460060367477</v>
      </c>
      <c r="W76">
        <v>1.5156838999828299</v>
      </c>
      <c r="X76" t="str">
        <f>IF(H76=MIN(H76,P76,U76),"Christofides",IF(P76=MIN(H76,P76,U76),"Arithmetic Series","Nearest Neighbor"))</f>
        <v>Nearest Neighbor</v>
      </c>
      <c r="Y76">
        <f>MIN(H76,P76,U76)</f>
        <v>86907.693072959504</v>
      </c>
      <c r="Z76">
        <f>Y76/F76</f>
        <v>1.3416460060367477</v>
      </c>
      <c r="AA76">
        <v>3440</v>
      </c>
      <c r="AB76">
        <v>4267</v>
      </c>
      <c r="AC76">
        <f>AA76/AB76</f>
        <v>0.80618701663932502</v>
      </c>
      <c r="AD76">
        <v>0</v>
      </c>
      <c r="AE76">
        <v>86504.353205899999</v>
      </c>
      <c r="AF76">
        <v>1216</v>
      </c>
      <c r="AG76">
        <f>AF76/AB76</f>
        <v>0.28497773611436605</v>
      </c>
      <c r="AH76" s="1">
        <v>1.45519152283668E-11</v>
      </c>
      <c r="AI76" s="4">
        <v>86504.353205899999</v>
      </c>
      <c r="AJ76" s="4">
        <v>1216</v>
      </c>
      <c r="AK76" s="4">
        <f>AJ76/AB76</f>
        <v>0.28497773611436605</v>
      </c>
      <c r="AL76">
        <v>85144.058241240506</v>
      </c>
      <c r="AM76">
        <f>AL76/F76</f>
        <v>1.3144197209471564</v>
      </c>
      <c r="AN76">
        <v>0.67465679999440897</v>
      </c>
      <c r="AO76">
        <v>7</v>
      </c>
      <c r="AP76">
        <f>AO76/10</f>
        <v>0.7</v>
      </c>
      <c r="AQ76">
        <v>86389.245675697297</v>
      </c>
      <c r="AR76">
        <f>AQ76/F76</f>
        <v>1.333642423669269</v>
      </c>
      <c r="AS76">
        <v>39.760594699997398</v>
      </c>
      <c r="AT76">
        <v>82</v>
      </c>
      <c r="AU76">
        <f>AT76/100</f>
        <v>0.82</v>
      </c>
      <c r="AV76">
        <v>83375.8318875408</v>
      </c>
      <c r="AW76">
        <f>AV76/F76</f>
        <v>1.2871225537882198</v>
      </c>
      <c r="AX76">
        <v>32.352811200020298</v>
      </c>
      <c r="AY76" t="str">
        <f>IF(AL76=MIN(AL76,AQ76,AV76),"Simulated Annealing",IF(AQ76=MIN(AL76,AQ76,AV76),"Ant Colony Optimization","Genetic Algorithm"))</f>
        <v>Genetic Algorithm</v>
      </c>
      <c r="AZ76">
        <f>MIN(AL76,AQ76,AV76)</f>
        <v>83375.8318875408</v>
      </c>
      <c r="BA76">
        <f>AZ76/F76</f>
        <v>1.2871225537882198</v>
      </c>
      <c r="BB76">
        <v>78101.340428874304</v>
      </c>
      <c r="BC76">
        <f>BB76/F76</f>
        <v>1.205697076374453</v>
      </c>
      <c r="BD76">
        <v>0.112</v>
      </c>
      <c r="BE76">
        <v>5</v>
      </c>
      <c r="BF76">
        <v>5.07</v>
      </c>
    </row>
    <row r="77" spans="1:58" x14ac:dyDescent="0.3">
      <c r="A77">
        <v>38</v>
      </c>
      <c r="B77">
        <v>380</v>
      </c>
      <c r="C77">
        <v>9.3238123942687406E-2</v>
      </c>
      <c r="D77">
        <v>0.21912452109577199</v>
      </c>
      <c r="E77">
        <f>SQRT(D77)</f>
        <v>0.46810738201375546</v>
      </c>
      <c r="F77">
        <v>65104.406479405297</v>
      </c>
      <c r="G77">
        <v>5.7296205000020501</v>
      </c>
      <c r="H77">
        <v>82449.627587405004</v>
      </c>
      <c r="I77">
        <f>H77/F77</f>
        <v>1.2664216148485523</v>
      </c>
      <c r="J77">
        <v>0.82875539999804404</v>
      </c>
      <c r="K77">
        <v>1058041.6554065601</v>
      </c>
      <c r="L77" t="s">
        <v>44</v>
      </c>
      <c r="M77">
        <v>0</v>
      </c>
      <c r="N77">
        <v>210</v>
      </c>
      <c r="O77">
        <f>(N77+1)/B77</f>
        <v>0.55526315789473679</v>
      </c>
      <c r="P77">
        <v>90030.367253321703</v>
      </c>
      <c r="Q77">
        <f>P77/F77</f>
        <v>1.3828613472085229</v>
      </c>
      <c r="R77">
        <v>5.7296205000020501</v>
      </c>
      <c r="S77">
        <v>165</v>
      </c>
      <c r="T77">
        <f>(S77+1)/B77</f>
        <v>0.43684210526315792</v>
      </c>
      <c r="U77">
        <v>86716.707392439901</v>
      </c>
      <c r="V77">
        <f>U77/F77</f>
        <v>1.3319637192279956</v>
      </c>
      <c r="W77">
        <v>1.5605143000138899</v>
      </c>
      <c r="X77" t="str">
        <f>IF(H77=MIN(H77,P77,U77),"Christofides",IF(P77=MIN(H77,P77,U77),"Arithmetic Series","Nearest Neighbor"))</f>
        <v>Christofides</v>
      </c>
      <c r="Y77">
        <f>MIN(H77,P77,U77)</f>
        <v>82449.627587405004</v>
      </c>
      <c r="Z77">
        <f>Y77/F77</f>
        <v>1.2664216148485523</v>
      </c>
      <c r="AA77">
        <v>4188</v>
      </c>
      <c r="AB77">
        <v>4268</v>
      </c>
      <c r="AC77">
        <f>AA77/AB77</f>
        <v>0.98125585754451738</v>
      </c>
      <c r="AD77">
        <v>0</v>
      </c>
      <c r="AE77">
        <v>82449.627587405004</v>
      </c>
      <c r="AF77">
        <v>3</v>
      </c>
      <c r="AG77">
        <f>AF77/AB77</f>
        <v>7.0290534208059983E-4</v>
      </c>
      <c r="AH77">
        <v>13.8150963871157</v>
      </c>
      <c r="AI77" s="4">
        <v>82463.442683792193</v>
      </c>
      <c r="AJ77" s="4">
        <v>46</v>
      </c>
      <c r="AK77" s="4">
        <f>AJ77/AB77</f>
        <v>1.077788191190253E-2</v>
      </c>
      <c r="AL77">
        <v>81854.160161393898</v>
      </c>
      <c r="AM77">
        <f>AL77/F77</f>
        <v>1.2572752688758035</v>
      </c>
      <c r="AN77">
        <v>0.95734140000422396</v>
      </c>
      <c r="AO77">
        <v>0</v>
      </c>
      <c r="AP77">
        <f>AO77/10</f>
        <v>0</v>
      </c>
      <c r="AQ77">
        <v>82449.627587405004</v>
      </c>
      <c r="AR77">
        <f>AQ77/F77</f>
        <v>1.2664216148485523</v>
      </c>
      <c r="AS77">
        <v>49.815673199991501</v>
      </c>
      <c r="AT77">
        <v>55</v>
      </c>
      <c r="AU77">
        <f>AT77/100</f>
        <v>0.55000000000000004</v>
      </c>
      <c r="AV77">
        <v>82374.341128851796</v>
      </c>
      <c r="AW77">
        <f>AV77/F77</f>
        <v>1.265265219104786</v>
      </c>
      <c r="AX77">
        <v>33.455840599999597</v>
      </c>
      <c r="AY77" t="str">
        <f>IF(AL77=MIN(AL77,AQ77,AV77),"Simulated Annealing",IF(AQ77=MIN(AL77,AQ77,AV77),"Ant Colony Optimization","Genetic Algorithm"))</f>
        <v>Simulated Annealing</v>
      </c>
      <c r="AZ77">
        <f>MIN(AL77,AQ77,AV77)</f>
        <v>81854.160161393898</v>
      </c>
      <c r="BA77">
        <f>AZ77/F77</f>
        <v>1.2572752688758035</v>
      </c>
      <c r="BB77">
        <v>78906.187370925705</v>
      </c>
      <c r="BC77">
        <f>BB77/F77</f>
        <v>1.2119945736067246</v>
      </c>
      <c r="BD77">
        <v>9.6000000000000002E-2</v>
      </c>
      <c r="BE77">
        <v>5</v>
      </c>
      <c r="BF77">
        <v>5.0579999999999998</v>
      </c>
    </row>
    <row r="78" spans="1:58" x14ac:dyDescent="0.3">
      <c r="A78">
        <v>99</v>
      </c>
      <c r="B78">
        <v>385</v>
      </c>
      <c r="C78">
        <v>8.9710808179498905E-2</v>
      </c>
      <c r="D78">
        <v>0.19626895919661899</v>
      </c>
      <c r="E78">
        <f>SQRT(D78)</f>
        <v>0.44302252673720666</v>
      </c>
      <c r="F78">
        <v>66082.193982919503</v>
      </c>
      <c r="G78">
        <v>5.7020556000061298</v>
      </c>
      <c r="H78">
        <v>88057.2408960498</v>
      </c>
      <c r="I78">
        <f>H78/F78</f>
        <v>1.332541121725018</v>
      </c>
      <c r="J78">
        <v>0.86702260002493803</v>
      </c>
      <c r="K78">
        <v>1088894.8468017499</v>
      </c>
      <c r="L78" t="s">
        <v>44</v>
      </c>
      <c r="M78">
        <v>0</v>
      </c>
      <c r="N78">
        <v>12</v>
      </c>
      <c r="O78">
        <f>(N78+1)/B78</f>
        <v>3.3766233766233764E-2</v>
      </c>
      <c r="P78">
        <v>88521.446936468099</v>
      </c>
      <c r="Q78">
        <f>P78/F78</f>
        <v>1.339565798304889</v>
      </c>
      <c r="R78">
        <v>5.7020556000061298</v>
      </c>
      <c r="S78">
        <v>241</v>
      </c>
      <c r="T78">
        <f>(S78+1)/B78</f>
        <v>0.62857142857142856</v>
      </c>
      <c r="U78">
        <v>88117.583919673896</v>
      </c>
      <c r="V78">
        <f>U78/F78</f>
        <v>1.3334542727568937</v>
      </c>
      <c r="W78">
        <v>1.6234539999859401</v>
      </c>
      <c r="X78" t="str">
        <f>IF(H78=MIN(H78,P78,U78),"Christofides",IF(P78=MIN(H78,P78,U78),"Arithmetic Series","Nearest Neighbor"))</f>
        <v>Christofides</v>
      </c>
      <c r="Y78">
        <f>MIN(H78,P78,U78)</f>
        <v>88057.2408960498</v>
      </c>
      <c r="Z78">
        <f>Y78/F78</f>
        <v>1.332541121725018</v>
      </c>
      <c r="AA78">
        <v>1162</v>
      </c>
      <c r="AB78">
        <v>4269</v>
      </c>
      <c r="AC78">
        <f>AA78/AB78</f>
        <v>0.27219489341766223</v>
      </c>
      <c r="AD78">
        <v>0</v>
      </c>
      <c r="AE78">
        <v>88060.184419455298</v>
      </c>
      <c r="AF78">
        <v>88</v>
      </c>
      <c r="AG78">
        <f>AF78/AB78</f>
        <v>2.0613726868118996E-2</v>
      </c>
      <c r="AH78">
        <v>2.9435234054981199</v>
      </c>
      <c r="AI78" s="4">
        <v>88060.184419455298</v>
      </c>
      <c r="AJ78" s="4">
        <v>88</v>
      </c>
      <c r="AK78" s="4">
        <f>AJ78/AB78</f>
        <v>2.0613726868118996E-2</v>
      </c>
      <c r="AL78">
        <v>87704.229371959605</v>
      </c>
      <c r="AM78">
        <f>AL78/F78</f>
        <v>1.3271991150086335</v>
      </c>
      <c r="AN78">
        <v>0.71347180003067401</v>
      </c>
      <c r="AO78">
        <v>2</v>
      </c>
      <c r="AP78">
        <f>AO78/10</f>
        <v>0.2</v>
      </c>
      <c r="AQ78">
        <v>86586.8687737812</v>
      </c>
      <c r="AR78">
        <f>AQ78/F78</f>
        <v>1.3102904663873844</v>
      </c>
      <c r="AS78">
        <v>42.662807699991298</v>
      </c>
      <c r="AT78">
        <v>99</v>
      </c>
      <c r="AU78">
        <f>AT78/100</f>
        <v>0.99</v>
      </c>
      <c r="AV78">
        <v>87826.4624870876</v>
      </c>
      <c r="AW78">
        <f>AV78/F78</f>
        <v>1.3290488283392712</v>
      </c>
      <c r="AX78">
        <v>35.526464299997301</v>
      </c>
      <c r="AY78" t="str">
        <f>IF(AL78=MIN(AL78,AQ78,AV78),"Simulated Annealing",IF(AQ78=MIN(AL78,AQ78,AV78),"Ant Colony Optimization","Genetic Algorithm"))</f>
        <v>Ant Colony Optimization</v>
      </c>
      <c r="AZ78">
        <f>MIN(AL78,AQ78,AV78)</f>
        <v>86586.8687737812</v>
      </c>
      <c r="BA78">
        <f>AZ78/F78</f>
        <v>1.3102904663873844</v>
      </c>
      <c r="BB78">
        <v>78744.208457183602</v>
      </c>
      <c r="BC78">
        <f>BB78/F78</f>
        <v>1.1916100799791378</v>
      </c>
      <c r="BD78">
        <v>0.112</v>
      </c>
      <c r="BE78">
        <v>5</v>
      </c>
      <c r="BF78">
        <v>5</v>
      </c>
    </row>
    <row r="79" spans="1:58" x14ac:dyDescent="0.3">
      <c r="A79">
        <v>39</v>
      </c>
      <c r="B79">
        <v>390</v>
      </c>
      <c r="C79">
        <v>8.7842444050076698E-2</v>
      </c>
      <c r="D79">
        <v>0.33925796728456298</v>
      </c>
      <c r="E79">
        <f>SQRT(D79)</f>
        <v>0.58245855413459502</v>
      </c>
      <c r="F79">
        <v>65100.952569888803</v>
      </c>
      <c r="G79">
        <v>5.8228094000369301</v>
      </c>
      <c r="H79">
        <v>85415.537785175693</v>
      </c>
      <c r="I79">
        <f>H79/F79</f>
        <v>1.3120474342288351</v>
      </c>
      <c r="J79">
        <v>0.90610630001174197</v>
      </c>
      <c r="K79">
        <v>1120230.5496420299</v>
      </c>
      <c r="L79" t="s">
        <v>44</v>
      </c>
      <c r="M79">
        <v>0</v>
      </c>
      <c r="N79">
        <v>226</v>
      </c>
      <c r="O79">
        <f>(N79+1)/B79</f>
        <v>0.58205128205128209</v>
      </c>
      <c r="P79">
        <v>91295.755563792307</v>
      </c>
      <c r="Q79">
        <f>P79/F79</f>
        <v>1.4023720385010066</v>
      </c>
      <c r="R79">
        <v>5.8228094000369301</v>
      </c>
      <c r="S79">
        <v>248</v>
      </c>
      <c r="T79">
        <f>(S79+1)/B79</f>
        <v>0.63846153846153841</v>
      </c>
      <c r="U79">
        <v>86794.6279334883</v>
      </c>
      <c r="V79">
        <f>U79/F79</f>
        <v>1.3332313047233888</v>
      </c>
      <c r="W79">
        <v>1.7131553000072</v>
      </c>
      <c r="X79" t="str">
        <f>IF(H79=MIN(H79,P79,U79),"Christofides",IF(P79=MIN(H79,P79,U79),"Arithmetic Series","Nearest Neighbor"))</f>
        <v>Christofides</v>
      </c>
      <c r="Y79">
        <f>MIN(H79,P79,U79)</f>
        <v>85415.537785175693</v>
      </c>
      <c r="Z79">
        <f>Y79/F79</f>
        <v>1.3120474342288351</v>
      </c>
      <c r="AA79">
        <v>3066</v>
      </c>
      <c r="AB79">
        <v>4271</v>
      </c>
      <c r="AC79">
        <f>AA79/AB79</f>
        <v>0.71786466869585575</v>
      </c>
      <c r="AD79">
        <v>0</v>
      </c>
      <c r="AE79">
        <v>85415.537785175795</v>
      </c>
      <c r="AF79">
        <v>587</v>
      </c>
      <c r="AG79">
        <f>AF79/AB79</f>
        <v>0.13743853898384453</v>
      </c>
      <c r="AH79" s="1">
        <v>1.0186340659856701E-10</v>
      </c>
      <c r="AI79" s="4">
        <v>85415.537785175795</v>
      </c>
      <c r="AJ79" s="4">
        <v>587</v>
      </c>
      <c r="AK79" s="4">
        <f>AJ79/AB79</f>
        <v>0.13743853898384453</v>
      </c>
      <c r="AL79">
        <v>83951.522501500207</v>
      </c>
      <c r="AM79">
        <f>AL79/F79</f>
        <v>1.2895590492531499</v>
      </c>
      <c r="AN79">
        <v>0.96740500000305396</v>
      </c>
      <c r="AO79">
        <v>0</v>
      </c>
      <c r="AP79">
        <f>AO79/10</f>
        <v>0</v>
      </c>
      <c r="AQ79">
        <v>85415.537785175693</v>
      </c>
      <c r="AR79">
        <f>AQ79/F79</f>
        <v>1.3120474342288351</v>
      </c>
      <c r="AS79">
        <v>50.882395399996298</v>
      </c>
      <c r="AT79">
        <v>69</v>
      </c>
      <c r="AU79">
        <f>AT79/100</f>
        <v>0.69</v>
      </c>
      <c r="AV79">
        <v>85081.0111532585</v>
      </c>
      <c r="AW79">
        <f>AV79/F79</f>
        <v>1.3069088514783282</v>
      </c>
      <c r="AX79">
        <v>37.540376400007503</v>
      </c>
      <c r="AY79" t="str">
        <f>IF(AL79=MIN(AL79,AQ79,AV79),"Simulated Annealing",IF(AQ79=MIN(AL79,AQ79,AV79),"Ant Colony Optimization","Genetic Algorithm"))</f>
        <v>Simulated Annealing</v>
      </c>
      <c r="AZ79">
        <f>MIN(AL79,AQ79,AV79)</f>
        <v>83951.522501500207</v>
      </c>
      <c r="BA79">
        <f>AZ79/F79</f>
        <v>1.2895590492531499</v>
      </c>
      <c r="BB79">
        <v>78635.624444544606</v>
      </c>
      <c r="BC79">
        <f>BB79/F79</f>
        <v>1.2079028238507834</v>
      </c>
      <c r="BD79">
        <v>0.112</v>
      </c>
      <c r="BE79">
        <v>5</v>
      </c>
      <c r="BF79">
        <v>5</v>
      </c>
    </row>
    <row r="80" spans="1:58" x14ac:dyDescent="0.3">
      <c r="A80">
        <v>100</v>
      </c>
      <c r="B80">
        <v>395</v>
      </c>
      <c r="C80">
        <v>8.5341582350948603E-2</v>
      </c>
      <c r="D80">
        <v>0.18893414943056699</v>
      </c>
      <c r="E80">
        <f>SQRT(D80)</f>
        <v>0.43466556043763921</v>
      </c>
      <c r="F80">
        <v>66726.653152398299</v>
      </c>
      <c r="G80">
        <v>6.1861779000028001</v>
      </c>
      <c r="H80">
        <v>89172.320317534104</v>
      </c>
      <c r="I80">
        <f>H80/F80</f>
        <v>1.3363823315680423</v>
      </c>
      <c r="J80">
        <v>0.96764629997778595</v>
      </c>
      <c r="K80">
        <v>1152041.8903681601</v>
      </c>
      <c r="L80" t="s">
        <v>44</v>
      </c>
      <c r="M80" t="s">
        <v>37</v>
      </c>
      <c r="N80">
        <v>183</v>
      </c>
      <c r="O80">
        <f>(N80+1)/B80</f>
        <v>0.46582278481012657</v>
      </c>
      <c r="P80">
        <v>93701.711422206106</v>
      </c>
      <c r="Q80">
        <f>P80/F80</f>
        <v>1.4042621200886392</v>
      </c>
      <c r="R80">
        <v>6.1861779000028001</v>
      </c>
      <c r="S80">
        <v>189</v>
      </c>
      <c r="T80">
        <f>(S80+1)/B80</f>
        <v>0.48101265822784811</v>
      </c>
      <c r="U80">
        <v>86273.803621294297</v>
      </c>
      <c r="V80">
        <f>U80/F80</f>
        <v>1.2929436671168248</v>
      </c>
      <c r="W80">
        <v>1.6917575999977901</v>
      </c>
      <c r="X80" t="str">
        <f>IF(H80=MIN(H80,P80,U80),"Christofides",IF(P80=MIN(H80,P80,U80),"Arithmetic Series","Nearest Neighbor"))</f>
        <v>Nearest Neighbor</v>
      </c>
      <c r="Y80">
        <f>MIN(H80,P80,U80)</f>
        <v>86273.803621294297</v>
      </c>
      <c r="Z80">
        <f>Y80/F80</f>
        <v>1.2929436671168248</v>
      </c>
      <c r="AA80">
        <v>3039</v>
      </c>
      <c r="AB80">
        <v>4272</v>
      </c>
      <c r="AC80">
        <f>AA80/AB80</f>
        <v>0.711376404494382</v>
      </c>
      <c r="AD80">
        <v>0</v>
      </c>
      <c r="AE80">
        <v>86059.209490042704</v>
      </c>
      <c r="AF80">
        <v>514</v>
      </c>
      <c r="AG80">
        <f>AF80/AB80</f>
        <v>0.1203183520599251</v>
      </c>
      <c r="AH80" s="1">
        <v>5.8207660913467401E-11</v>
      </c>
      <c r="AI80" s="4">
        <v>85961.405337517499</v>
      </c>
      <c r="AJ80" s="4">
        <v>2766</v>
      </c>
      <c r="AK80" s="4">
        <f>AJ80/AB80</f>
        <v>0.64747191011235961</v>
      </c>
      <c r="AL80">
        <v>85855.484040387702</v>
      </c>
      <c r="AM80">
        <f>AL80/F80</f>
        <v>1.286674514369853</v>
      </c>
      <c r="AN80">
        <v>0.715840200020466</v>
      </c>
      <c r="AO80">
        <v>0</v>
      </c>
      <c r="AP80">
        <f>AO80/10</f>
        <v>0</v>
      </c>
      <c r="AQ80">
        <v>86273.803621294297</v>
      </c>
      <c r="AR80">
        <f>AQ80/F80</f>
        <v>1.2929436671168248</v>
      </c>
      <c r="AS80">
        <v>45.8776132999919</v>
      </c>
      <c r="AT80">
        <v>85</v>
      </c>
      <c r="AU80">
        <f>AT80/100</f>
        <v>0.85</v>
      </c>
      <c r="AV80">
        <v>86217.919607552307</v>
      </c>
      <c r="AW80">
        <f>AV80/F80</f>
        <v>1.2921061604968787</v>
      </c>
      <c r="AX80">
        <v>38.657861599989701</v>
      </c>
      <c r="AY80" t="str">
        <f>IF(AL80=MIN(AL80,AQ80,AV80),"Simulated Annealing",IF(AQ80=MIN(AL80,AQ80,AV80),"Ant Colony Optimization","Genetic Algorithm"))</f>
        <v>Simulated Annealing</v>
      </c>
      <c r="AZ80">
        <f>MIN(AL80,AQ80,AV80)</f>
        <v>85855.484040387702</v>
      </c>
      <c r="BA80">
        <f>AZ80/F80</f>
        <v>1.286674514369853</v>
      </c>
      <c r="BB80">
        <v>80467.360015727201</v>
      </c>
      <c r="BC80">
        <f>BB80/F80</f>
        <v>1.2059253119131605</v>
      </c>
      <c r="BD80">
        <v>0.112</v>
      </c>
      <c r="BE80">
        <v>5</v>
      </c>
      <c r="BF80">
        <v>5</v>
      </c>
    </row>
    <row r="81" spans="1:58" x14ac:dyDescent="0.3">
      <c r="A81">
        <v>40</v>
      </c>
      <c r="B81">
        <v>400</v>
      </c>
      <c r="C81">
        <v>8.6003267524942195E-2</v>
      </c>
      <c r="D81">
        <v>0.33179292490453199</v>
      </c>
      <c r="E81">
        <f>SQRT(D81)</f>
        <v>0.57601469157004315</v>
      </c>
      <c r="F81">
        <v>68491.266470217102</v>
      </c>
      <c r="G81">
        <v>6.4128165999427402</v>
      </c>
      <c r="H81">
        <v>90270.142703961697</v>
      </c>
      <c r="I81">
        <f>H81/F81</f>
        <v>1.3179803405039234</v>
      </c>
      <c r="J81">
        <v>0.970681899998453</v>
      </c>
      <c r="K81">
        <v>1184327.65986433</v>
      </c>
      <c r="L81" t="s">
        <v>44</v>
      </c>
      <c r="M81" t="s">
        <v>37</v>
      </c>
      <c r="N81">
        <v>86</v>
      </c>
      <c r="O81">
        <f>(N81+1)/B81</f>
        <v>0.2175</v>
      </c>
      <c r="P81">
        <v>90032.964376995602</v>
      </c>
      <c r="Q81">
        <f>P81/F81</f>
        <v>1.3145174416674823</v>
      </c>
      <c r="R81">
        <v>6.4128165999427402</v>
      </c>
      <c r="S81">
        <v>209</v>
      </c>
      <c r="T81">
        <f>(S81+1)/B81</f>
        <v>0.52500000000000002</v>
      </c>
      <c r="U81">
        <v>88122.906542549303</v>
      </c>
      <c r="V81">
        <f>U81/F81</f>
        <v>1.2866298301093448</v>
      </c>
      <c r="W81">
        <v>1.8761330000124801</v>
      </c>
      <c r="X81" t="str">
        <f>IF(H81=MIN(H81,P81,U81),"Christofides",IF(P81=MIN(H81,P81,U81),"Arithmetic Series","Nearest Neighbor"))</f>
        <v>Nearest Neighbor</v>
      </c>
      <c r="Y81">
        <f>MIN(H81,P81,U81)</f>
        <v>88122.906542549303</v>
      </c>
      <c r="Z81">
        <f>Y81/F81</f>
        <v>1.2866298301093448</v>
      </c>
      <c r="AA81">
        <v>3121</v>
      </c>
      <c r="AB81">
        <v>4273</v>
      </c>
      <c r="AC81">
        <f>AA81/AB81</f>
        <v>0.73040018722209221</v>
      </c>
      <c r="AD81">
        <v>0</v>
      </c>
      <c r="AE81">
        <v>87879.452929764302</v>
      </c>
      <c r="AF81">
        <v>593</v>
      </c>
      <c r="AG81">
        <f>AF81/AB81</f>
        <v>0.13877837584835009</v>
      </c>
      <c r="AH81" s="1">
        <v>7.2759576141834194E-11</v>
      </c>
      <c r="AI81" s="4">
        <v>87879.452929764302</v>
      </c>
      <c r="AJ81" s="4">
        <v>593</v>
      </c>
      <c r="AK81" s="4">
        <f>AJ81/AB81</f>
        <v>0.13877837584835009</v>
      </c>
      <c r="AL81">
        <v>87147.725990571606</v>
      </c>
      <c r="AM81">
        <f>AL81/F81</f>
        <v>1.2723918023689504</v>
      </c>
      <c r="AN81">
        <v>0.71469639999850099</v>
      </c>
      <c r="AO81">
        <v>0</v>
      </c>
      <c r="AP81">
        <f>AO81/10</f>
        <v>0</v>
      </c>
      <c r="AQ81">
        <v>88122.906542549303</v>
      </c>
      <c r="AR81">
        <f>AQ81/F81</f>
        <v>1.2866298301093448</v>
      </c>
      <c r="AS81">
        <v>46.975082099990601</v>
      </c>
      <c r="AT81">
        <v>40</v>
      </c>
      <c r="AU81">
        <f>AT81/100</f>
        <v>0.4</v>
      </c>
      <c r="AV81">
        <v>88011.001751777294</v>
      </c>
      <c r="AW81">
        <f>AV81/F81</f>
        <v>1.2849959752174855</v>
      </c>
      <c r="AX81">
        <v>40.0614118000085</v>
      </c>
      <c r="AY81" t="str">
        <f>IF(AL81=MIN(AL81,AQ81,AV81),"Simulated Annealing",IF(AQ81=MIN(AL81,AQ81,AV81),"Ant Colony Optimization","Genetic Algorithm"))</f>
        <v>Simulated Annealing</v>
      </c>
      <c r="AZ81">
        <f>MIN(AL81,AQ81,AV81)</f>
        <v>87147.725990571606</v>
      </c>
      <c r="BA81">
        <f>AZ81/F81</f>
        <v>1.2723918023689504</v>
      </c>
      <c r="BB81">
        <v>81704.494556438105</v>
      </c>
      <c r="BC81">
        <f>BB81/F81</f>
        <v>1.192918437155293</v>
      </c>
      <c r="BD81">
        <v>9.6000000000000002E-2</v>
      </c>
      <c r="BE81">
        <v>5</v>
      </c>
      <c r="BF81">
        <v>5.0209999999999999</v>
      </c>
    </row>
    <row r="82" spans="1:58" x14ac:dyDescent="0.3">
      <c r="A82">
        <v>101</v>
      </c>
      <c r="B82">
        <v>405</v>
      </c>
      <c r="C82">
        <v>8.3946870170592006E-2</v>
      </c>
      <c r="D82">
        <v>0.47839119117895801</v>
      </c>
      <c r="E82">
        <f>SQRT(D82)</f>
        <v>0.69165829076138308</v>
      </c>
      <c r="F82">
        <v>67202.5236798306</v>
      </c>
      <c r="G82">
        <v>6.9774335999973101</v>
      </c>
      <c r="H82">
        <v>89287.9315727129</v>
      </c>
      <c r="I82">
        <f>H82/F82</f>
        <v>1.3286395611882469</v>
      </c>
      <c r="J82">
        <v>1.0272308000130499</v>
      </c>
      <c r="K82">
        <v>1217095.05354439</v>
      </c>
      <c r="L82" t="s">
        <v>44</v>
      </c>
      <c r="M82" t="s">
        <v>37</v>
      </c>
      <c r="N82">
        <v>119</v>
      </c>
      <c r="O82">
        <f>(N82+1)/B82</f>
        <v>0.29629629629629628</v>
      </c>
      <c r="P82">
        <v>90804.966857929496</v>
      </c>
      <c r="Q82">
        <f>P82/F82</f>
        <v>1.3512136432635589</v>
      </c>
      <c r="R82">
        <v>6.9774335999973101</v>
      </c>
      <c r="S82">
        <v>40</v>
      </c>
      <c r="T82">
        <f>(S82+1)/B82</f>
        <v>0.10123456790123457</v>
      </c>
      <c r="U82">
        <v>87879.2824175274</v>
      </c>
      <c r="V82">
        <f>U82/F82</f>
        <v>1.3076783073833058</v>
      </c>
      <c r="W82">
        <v>1.9683026000275201</v>
      </c>
      <c r="X82" t="str">
        <f>IF(H82=MIN(H82,P82,U82),"Christofides",IF(P82=MIN(H82,P82,U82),"Arithmetic Series","Nearest Neighbor"))</f>
        <v>Nearest Neighbor</v>
      </c>
      <c r="Y82">
        <f>MIN(H82,P82,U82)</f>
        <v>87879.2824175274</v>
      </c>
      <c r="Z82">
        <f>Y82/F82</f>
        <v>1.3076783073833058</v>
      </c>
      <c r="AA82">
        <v>4129</v>
      </c>
      <c r="AB82">
        <v>4274</v>
      </c>
      <c r="AC82">
        <f>AA82/AB82</f>
        <v>0.96607393542349085</v>
      </c>
      <c r="AD82">
        <v>0</v>
      </c>
      <c r="AE82">
        <v>87879.2824175274</v>
      </c>
      <c r="AF82">
        <v>451</v>
      </c>
      <c r="AG82">
        <f>AF82/AB82</f>
        <v>0.1055217594759008</v>
      </c>
      <c r="AH82" s="1">
        <v>8.7311491370201098E-11</v>
      </c>
      <c r="AI82" s="4">
        <v>87414.622176850695</v>
      </c>
      <c r="AJ82" s="4">
        <v>2514</v>
      </c>
      <c r="AK82" s="4">
        <f>AJ82/AB82</f>
        <v>0.58820776789892371</v>
      </c>
      <c r="AL82">
        <v>87293.185330259599</v>
      </c>
      <c r="AM82">
        <f>AL82/F82</f>
        <v>1.2989569520654591</v>
      </c>
      <c r="AN82">
        <v>0.75285150000126999</v>
      </c>
      <c r="AO82">
        <v>0</v>
      </c>
      <c r="AP82">
        <f>AO82/10</f>
        <v>0</v>
      </c>
      <c r="AQ82">
        <v>87879.2824175274</v>
      </c>
      <c r="AR82">
        <f>AQ82/F82</f>
        <v>1.3076783073833058</v>
      </c>
      <c r="AS82">
        <v>49.603016299952202</v>
      </c>
      <c r="AT82">
        <v>15</v>
      </c>
      <c r="AU82">
        <f>AT82/100</f>
        <v>0.15</v>
      </c>
      <c r="AV82">
        <v>87472.575919755807</v>
      </c>
      <c r="AW82">
        <f>AV82/F82</f>
        <v>1.3016263546365718</v>
      </c>
      <c r="AX82">
        <v>41.886128299985998</v>
      </c>
      <c r="AY82" t="str">
        <f>IF(AL82=MIN(AL82,AQ82,AV82),"Simulated Annealing",IF(AQ82=MIN(AL82,AQ82,AV82),"Ant Colony Optimization","Genetic Algorithm"))</f>
        <v>Simulated Annealing</v>
      </c>
      <c r="AZ82">
        <f>MIN(AL82,AQ82,AV82)</f>
        <v>87293.185330259599</v>
      </c>
      <c r="BA82">
        <f>AZ82/F82</f>
        <v>1.2989569520654591</v>
      </c>
      <c r="BB82">
        <v>82381.248327201698</v>
      </c>
      <c r="BC82">
        <f>BB82/F82</f>
        <v>1.225865396360504</v>
      </c>
      <c r="BD82">
        <v>0.112</v>
      </c>
      <c r="BE82">
        <v>5</v>
      </c>
      <c r="BF82">
        <v>5</v>
      </c>
    </row>
    <row r="83" spans="1:58" x14ac:dyDescent="0.3">
      <c r="A83">
        <v>41</v>
      </c>
      <c r="B83">
        <v>410</v>
      </c>
      <c r="C83">
        <v>8.0430061928112098E-2</v>
      </c>
      <c r="D83">
        <v>0.13006720924382201</v>
      </c>
      <c r="E83">
        <f>SQRT(D83)</f>
        <v>0.36064831795507102</v>
      </c>
      <c r="F83">
        <v>66386.708978032606</v>
      </c>
      <c r="G83">
        <v>7.1341634000418699</v>
      </c>
      <c r="H83">
        <v>86970.607129714394</v>
      </c>
      <c r="I83">
        <f>H83/F83</f>
        <v>1.3100605297137566</v>
      </c>
      <c r="J83">
        <v>1.05815610004356</v>
      </c>
      <c r="K83">
        <v>1250343.36065602</v>
      </c>
      <c r="L83" t="s">
        <v>44</v>
      </c>
      <c r="M83">
        <v>0</v>
      </c>
      <c r="N83">
        <v>68</v>
      </c>
      <c r="O83">
        <f>(N83+1)/B83</f>
        <v>0.16829268292682928</v>
      </c>
      <c r="P83">
        <v>94688.566615044896</v>
      </c>
      <c r="Q83">
        <f>P83/F83</f>
        <v>1.426318130130195</v>
      </c>
      <c r="R83">
        <v>7.1341634000418699</v>
      </c>
      <c r="S83">
        <v>257</v>
      </c>
      <c r="T83">
        <f>(S83+1)/B83</f>
        <v>0.62926829268292683</v>
      </c>
      <c r="U83">
        <v>89024.471987047</v>
      </c>
      <c r="V83">
        <f>U83/F83</f>
        <v>1.3409984220863431</v>
      </c>
      <c r="W83">
        <v>2.2762461000238501</v>
      </c>
      <c r="X83" t="str">
        <f>IF(H83=MIN(H83,P83,U83),"Christofides",IF(P83=MIN(H83,P83,U83),"Arithmetic Series","Nearest Neighbor"))</f>
        <v>Christofides</v>
      </c>
      <c r="Y83">
        <f>MIN(H83,P83,U83)</f>
        <v>86970.607129714394</v>
      </c>
      <c r="Z83">
        <f>Y83/F83</f>
        <v>1.3100605297137566</v>
      </c>
      <c r="AA83">
        <v>3412</v>
      </c>
      <c r="AB83">
        <v>4276</v>
      </c>
      <c r="AC83">
        <f>AA83/AB83</f>
        <v>0.79794200187090736</v>
      </c>
      <c r="AD83">
        <v>0</v>
      </c>
      <c r="AE83">
        <v>86970.607129714394</v>
      </c>
      <c r="AF83">
        <v>493</v>
      </c>
      <c r="AG83">
        <f>AF83/AB83</f>
        <v>0.11529466791393826</v>
      </c>
      <c r="AH83" s="1">
        <v>4.3655745685100497E-11</v>
      </c>
      <c r="AI83" s="4">
        <v>86970.607129714394</v>
      </c>
      <c r="AJ83" s="4">
        <v>493</v>
      </c>
      <c r="AK83" s="4">
        <f>AJ83/AB83</f>
        <v>0.11529466791393826</v>
      </c>
      <c r="AL83">
        <v>86562.807295210194</v>
      </c>
      <c r="AM83">
        <f>AL83/F83</f>
        <v>1.303917736362769</v>
      </c>
      <c r="AN83">
        <v>0.76275319996057001</v>
      </c>
      <c r="AO83">
        <v>0</v>
      </c>
      <c r="AP83">
        <f>AO83/10</f>
        <v>0</v>
      </c>
      <c r="AQ83">
        <v>86970.607129714394</v>
      </c>
      <c r="AR83">
        <f>AQ83/F83</f>
        <v>1.3100605297137566</v>
      </c>
      <c r="AS83">
        <v>50.699610500014302</v>
      </c>
      <c r="AT83">
        <v>72</v>
      </c>
      <c r="AU83">
        <f>AT83/100</f>
        <v>0.72</v>
      </c>
      <c r="AV83">
        <v>86816.510205001905</v>
      </c>
      <c r="AW83">
        <f>AV83/F83</f>
        <v>1.3077393282702043</v>
      </c>
      <c r="AX83">
        <v>43.219600800017297</v>
      </c>
      <c r="AY83" t="str">
        <f>IF(AL83=MIN(AL83,AQ83,AV83),"Simulated Annealing",IF(AQ83=MIN(AL83,AQ83,AV83),"Ant Colony Optimization","Genetic Algorithm"))</f>
        <v>Simulated Annealing</v>
      </c>
      <c r="AZ83">
        <f>MIN(AL83,AQ83,AV83)</f>
        <v>86562.807295210194</v>
      </c>
      <c r="BA83">
        <f>AZ83/F83</f>
        <v>1.303917736362769</v>
      </c>
      <c r="BB83">
        <v>80807.769664926003</v>
      </c>
      <c r="BC83">
        <f>BB83/F83</f>
        <v>1.2172281305835682</v>
      </c>
      <c r="BD83">
        <v>9.6000000000000002E-2</v>
      </c>
      <c r="BE83">
        <v>5</v>
      </c>
      <c r="BF83">
        <v>5.0380000000000003</v>
      </c>
    </row>
    <row r="84" spans="1:58" x14ac:dyDescent="0.3">
      <c r="A84">
        <v>102</v>
      </c>
      <c r="B84">
        <v>415</v>
      </c>
      <c r="C84">
        <v>7.8116181316297897E-2</v>
      </c>
      <c r="D84">
        <v>0.10157187012838501</v>
      </c>
      <c r="E84">
        <f>SQRT(D84)</f>
        <v>0.31870342032740251</v>
      </c>
      <c r="F84">
        <v>67454.6219240848</v>
      </c>
      <c r="G84">
        <v>7.4954708000295698</v>
      </c>
      <c r="H84">
        <v>90247.357732072094</v>
      </c>
      <c r="I84">
        <f>H84/F84</f>
        <v>1.3378973176017328</v>
      </c>
      <c r="J84">
        <v>1.1100057999719799</v>
      </c>
      <c r="K84">
        <v>1284068.8223926199</v>
      </c>
      <c r="L84" t="s">
        <v>44</v>
      </c>
      <c r="M84">
        <v>0</v>
      </c>
      <c r="N84">
        <v>340</v>
      </c>
      <c r="O84">
        <f>(N84+1)/B84</f>
        <v>0.82168674698795185</v>
      </c>
      <c r="P84">
        <v>91008.514019892595</v>
      </c>
      <c r="Q84">
        <f>P84/F84</f>
        <v>1.3491812929040794</v>
      </c>
      <c r="R84">
        <v>7.4954708000295698</v>
      </c>
      <c r="S84">
        <v>371</v>
      </c>
      <c r="T84">
        <f>(S84+1)/B84</f>
        <v>0.89638554216867472</v>
      </c>
      <c r="U84">
        <v>87506.859608333601</v>
      </c>
      <c r="V84">
        <f>U84/F84</f>
        <v>1.2972700329833011</v>
      </c>
      <c r="W84">
        <v>2.2172914000111601</v>
      </c>
      <c r="X84" t="str">
        <f>IF(H84=MIN(H84,P84,U84),"Christofides",IF(P84=MIN(H84,P84,U84),"Arithmetic Series","Nearest Neighbor"))</f>
        <v>Nearest Neighbor</v>
      </c>
      <c r="Y84">
        <f>MIN(H84,P84,U84)</f>
        <v>87506.859608333601</v>
      </c>
      <c r="Z84">
        <f>Y84/F84</f>
        <v>1.2972700329833011</v>
      </c>
      <c r="AA84">
        <v>2358</v>
      </c>
      <c r="AB84">
        <v>4277</v>
      </c>
      <c r="AC84">
        <f>AA84/AB84</f>
        <v>0.55132101940612577</v>
      </c>
      <c r="AD84">
        <v>0</v>
      </c>
      <c r="AE84">
        <v>87258.054122947302</v>
      </c>
      <c r="AF84">
        <v>638</v>
      </c>
      <c r="AG84">
        <f>AF84/AB84</f>
        <v>0.14916997895721301</v>
      </c>
      <c r="AH84" s="1">
        <v>2.91038304567337E-11</v>
      </c>
      <c r="AI84" s="4">
        <v>86777.233921843304</v>
      </c>
      <c r="AJ84" s="4">
        <v>4148</v>
      </c>
      <c r="AK84" s="4">
        <f>AJ84/AB84</f>
        <v>0.96983867196633156</v>
      </c>
      <c r="AL84">
        <v>86777.233921843304</v>
      </c>
      <c r="AM84">
        <f>AL84/F84</f>
        <v>1.2864534919416593</v>
      </c>
      <c r="AN84">
        <v>0.79243509995285399</v>
      </c>
      <c r="AO84">
        <v>10</v>
      </c>
      <c r="AP84">
        <f>AO84/10</f>
        <v>1</v>
      </c>
      <c r="AQ84">
        <v>87144.224045745505</v>
      </c>
      <c r="AR84">
        <f>AQ84/F84</f>
        <v>1.2918940401714785</v>
      </c>
      <c r="AS84">
        <v>53.496994700049903</v>
      </c>
      <c r="AT84">
        <v>81</v>
      </c>
      <c r="AU84">
        <f>AT84/100</f>
        <v>0.81</v>
      </c>
      <c r="AV84">
        <v>87230.107559593001</v>
      </c>
      <c r="AW84">
        <f>AV84/F84</f>
        <v>1.293167244459009</v>
      </c>
      <c r="AX84">
        <v>45.481767599994697</v>
      </c>
      <c r="AY84" t="str">
        <f>IF(AL84=MIN(AL84,AQ84,AV84),"Simulated Annealing",IF(AQ84=MIN(AL84,AQ84,AV84),"Ant Colony Optimization","Genetic Algorithm"))</f>
        <v>Simulated Annealing</v>
      </c>
      <c r="AZ84">
        <f>MIN(AL84,AQ84,AV84)</f>
        <v>86777.233921843304</v>
      </c>
      <c r="BA84">
        <f>AZ84/F84</f>
        <v>1.2864534919416593</v>
      </c>
      <c r="BB84">
        <v>82844.453782208002</v>
      </c>
      <c r="BC84">
        <f>BB84/F84</f>
        <v>1.2281508875024654</v>
      </c>
      <c r="BD84">
        <v>0.112</v>
      </c>
      <c r="BE84">
        <v>5</v>
      </c>
      <c r="BF84">
        <v>5</v>
      </c>
    </row>
    <row r="85" spans="1:58" x14ac:dyDescent="0.3">
      <c r="A85">
        <v>42</v>
      </c>
      <c r="B85">
        <v>420</v>
      </c>
      <c r="C85">
        <v>7.7378588902191098E-2</v>
      </c>
      <c r="D85">
        <v>0.39782251293681897</v>
      </c>
      <c r="E85">
        <f>SQRT(D85)</f>
        <v>0.63073172818308343</v>
      </c>
      <c r="F85">
        <v>68939.009274979398</v>
      </c>
      <c r="G85">
        <v>7.5579230000148501</v>
      </c>
      <c r="H85">
        <v>89428.373192673796</v>
      </c>
      <c r="I85">
        <f>H85/F85</f>
        <v>1.2972100140860419</v>
      </c>
      <c r="J85">
        <v>1.12555599998449</v>
      </c>
      <c r="K85">
        <v>1318283.1856416899</v>
      </c>
      <c r="L85" t="s">
        <v>44</v>
      </c>
      <c r="M85" t="s">
        <v>37</v>
      </c>
      <c r="N85">
        <v>43</v>
      </c>
      <c r="O85">
        <f>(N85+1)/B85</f>
        <v>0.10476190476190476</v>
      </c>
      <c r="P85">
        <v>100047.208667367</v>
      </c>
      <c r="Q85">
        <f>P85/F85</f>
        <v>1.4512423331804096</v>
      </c>
      <c r="R85">
        <v>7.5579230000148501</v>
      </c>
      <c r="S85">
        <v>126</v>
      </c>
      <c r="T85">
        <f>(S85+1)/B85</f>
        <v>0.30238095238095236</v>
      </c>
      <c r="U85">
        <v>90295.602608447705</v>
      </c>
      <c r="V85">
        <f>U85/F85</f>
        <v>1.3097896758028902</v>
      </c>
      <c r="W85">
        <v>2.1484826999949198</v>
      </c>
      <c r="X85" t="str">
        <f>IF(H85=MIN(H85,P85,U85),"Christofides",IF(P85=MIN(H85,P85,U85),"Arithmetic Series","Nearest Neighbor"))</f>
        <v>Christofides</v>
      </c>
      <c r="Y85">
        <f>MIN(H85,P85,U85)</f>
        <v>89428.373192673796</v>
      </c>
      <c r="Z85">
        <f>Y85/F85</f>
        <v>1.2972100140860419</v>
      </c>
      <c r="AA85">
        <v>4148</v>
      </c>
      <c r="AB85">
        <v>4278</v>
      </c>
      <c r="AC85">
        <f>AA85/AB85</f>
        <v>0.96961196820944362</v>
      </c>
      <c r="AD85">
        <v>0</v>
      </c>
      <c r="AE85">
        <v>89428.373192673796</v>
      </c>
      <c r="AF85">
        <v>169</v>
      </c>
      <c r="AG85">
        <f>AF85/AB85</f>
        <v>3.9504441327723232E-2</v>
      </c>
      <c r="AH85" s="1">
        <v>2.91038304567337E-11</v>
      </c>
      <c r="AI85" s="4">
        <v>89025.593014218</v>
      </c>
      <c r="AJ85" s="4">
        <v>3228</v>
      </c>
      <c r="AK85" s="4">
        <f>AJ85/AB85</f>
        <v>0.75455820476858348</v>
      </c>
      <c r="AL85">
        <v>89006.752201932497</v>
      </c>
      <c r="AM85">
        <f>AL85/F85</f>
        <v>1.2910941589965153</v>
      </c>
      <c r="AN85">
        <v>0.76461469999048803</v>
      </c>
      <c r="AO85">
        <v>0</v>
      </c>
      <c r="AP85">
        <f>AO85/10</f>
        <v>0</v>
      </c>
      <c r="AQ85">
        <v>89428.373192673796</v>
      </c>
      <c r="AR85">
        <f>AQ85/F85</f>
        <v>1.2972100140860419</v>
      </c>
      <c r="AS85">
        <v>53.065394099976402</v>
      </c>
      <c r="AT85">
        <v>99</v>
      </c>
      <c r="AU85">
        <f>AT85/100</f>
        <v>0.99</v>
      </c>
      <c r="AV85">
        <v>89202.235064239605</v>
      </c>
      <c r="AW85">
        <f>AV85/F85</f>
        <v>1.2939297504035137</v>
      </c>
      <c r="AX85">
        <v>46.116353699995599</v>
      </c>
      <c r="AY85" t="str">
        <f>IF(AL85=MIN(AL85,AQ85,AV85),"Simulated Annealing",IF(AQ85=MIN(AL85,AQ85,AV85),"Ant Colony Optimization","Genetic Algorithm"))</f>
        <v>Simulated Annealing</v>
      </c>
      <c r="AZ85">
        <f>MIN(AL85,AQ85,AV85)</f>
        <v>89006.752201932497</v>
      </c>
      <c r="BA85">
        <f>AZ85/F85</f>
        <v>1.2910941589965153</v>
      </c>
      <c r="BB85">
        <v>84396.566665614897</v>
      </c>
      <c r="BC85">
        <f>BB85/F85</f>
        <v>1.2242207648934931</v>
      </c>
      <c r="BD85">
        <v>0.112</v>
      </c>
      <c r="BE85">
        <v>5</v>
      </c>
      <c r="BF85">
        <v>5.0620000000000003</v>
      </c>
    </row>
    <row r="86" spans="1:58" x14ac:dyDescent="0.3">
      <c r="A86">
        <v>103</v>
      </c>
      <c r="B86">
        <v>425</v>
      </c>
      <c r="C86">
        <v>7.4163238279920801E-2</v>
      </c>
      <c r="D86">
        <v>0.170975915341674</v>
      </c>
      <c r="E86">
        <f>SQRT(D86)</f>
        <v>0.41349234012454694</v>
      </c>
      <c r="F86">
        <v>69613.3198170994</v>
      </c>
      <c r="G86">
        <v>7.5322439000010402</v>
      </c>
      <c r="H86">
        <v>92506.914086835503</v>
      </c>
      <c r="I86">
        <f>H86/F86</f>
        <v>1.3288680144818013</v>
      </c>
      <c r="J86">
        <v>1.12049000000115</v>
      </c>
      <c r="K86">
        <v>1352970.0993345799</v>
      </c>
      <c r="L86" t="s">
        <v>44</v>
      </c>
      <c r="M86">
        <v>0</v>
      </c>
      <c r="N86">
        <v>251</v>
      </c>
      <c r="O86">
        <f>(N86+1)/B86</f>
        <v>0.59294117647058819</v>
      </c>
      <c r="P86">
        <v>93539.447375758798</v>
      </c>
      <c r="Q86">
        <f>P86/F86</f>
        <v>1.343700424308486</v>
      </c>
      <c r="R86">
        <v>7.5322439000010402</v>
      </c>
      <c r="S86">
        <v>80</v>
      </c>
      <c r="T86">
        <f>(S86+1)/B86</f>
        <v>0.19058823529411764</v>
      </c>
      <c r="U86">
        <v>92377.633185008293</v>
      </c>
      <c r="V86">
        <f>U86/F86</f>
        <v>1.3270108856712965</v>
      </c>
      <c r="W86">
        <v>2.16429769998649</v>
      </c>
      <c r="X86" t="str">
        <f>IF(H86=MIN(H86,P86,U86),"Christofides",IF(P86=MIN(H86,P86,U86),"Arithmetic Series","Nearest Neighbor"))</f>
        <v>Nearest Neighbor</v>
      </c>
      <c r="Y86">
        <f>MIN(H86,P86,U86)</f>
        <v>92377.633185008293</v>
      </c>
      <c r="Z86">
        <f>Y86/F86</f>
        <v>1.3270108856712965</v>
      </c>
      <c r="AA86">
        <v>4223</v>
      </c>
      <c r="AB86">
        <v>4279</v>
      </c>
      <c r="AC86">
        <f>AA86/AB86</f>
        <v>0.9869128301004908</v>
      </c>
      <c r="AD86">
        <v>0</v>
      </c>
      <c r="AE86">
        <v>92377.633185008395</v>
      </c>
      <c r="AF86">
        <v>234</v>
      </c>
      <c r="AG86">
        <f>AF86/AB86</f>
        <v>5.4685674222949288E-2</v>
      </c>
      <c r="AH86" s="1">
        <v>1.0186340659856701E-10</v>
      </c>
      <c r="AI86" s="4">
        <v>92377.633185008395</v>
      </c>
      <c r="AJ86" s="4">
        <v>234</v>
      </c>
      <c r="AK86" s="4">
        <f>AJ86/AB86</f>
        <v>5.4685674222949288E-2</v>
      </c>
      <c r="AL86">
        <v>91395.944457747901</v>
      </c>
      <c r="AM86">
        <f>AL86/F86</f>
        <v>1.3129088613771003</v>
      </c>
      <c r="AN86">
        <v>0.75050000002374795</v>
      </c>
      <c r="AO86">
        <v>0</v>
      </c>
      <c r="AP86">
        <f>AO86/10</f>
        <v>0</v>
      </c>
      <c r="AQ86">
        <v>92377.633185008293</v>
      </c>
      <c r="AR86">
        <f>AQ86/F86</f>
        <v>1.3270108856712965</v>
      </c>
      <c r="AS86">
        <v>57.0124662999878</v>
      </c>
      <c r="AT86">
        <v>88</v>
      </c>
      <c r="AU86">
        <f>AT86/100</f>
        <v>0.88</v>
      </c>
      <c r="AV86">
        <v>92128.210971176799</v>
      </c>
      <c r="AW86">
        <f>AV86/F86</f>
        <v>1.3234279188700173</v>
      </c>
      <c r="AX86">
        <v>49.291258700017302</v>
      </c>
      <c r="AY86" t="str">
        <f>IF(AL86=MIN(AL86,AQ86,AV86),"Simulated Annealing",IF(AQ86=MIN(AL86,AQ86,AV86),"Ant Colony Optimization","Genetic Algorithm"))</f>
        <v>Simulated Annealing</v>
      </c>
      <c r="AZ86">
        <f>MIN(AL86,AQ86,AV86)</f>
        <v>91395.944457747901</v>
      </c>
      <c r="BA86">
        <f>AZ86/F86</f>
        <v>1.3129088613771003</v>
      </c>
      <c r="BB86">
        <v>85372.883642208093</v>
      </c>
      <c r="BC86">
        <f>BB86/F86</f>
        <v>1.2263871894992948</v>
      </c>
      <c r="BD86">
        <v>9.6000000000000002E-2</v>
      </c>
      <c r="BE86">
        <v>5</v>
      </c>
      <c r="BF86">
        <v>5.085</v>
      </c>
    </row>
    <row r="87" spans="1:58" x14ac:dyDescent="0.3">
      <c r="A87">
        <v>43</v>
      </c>
      <c r="B87">
        <v>430</v>
      </c>
      <c r="C87">
        <v>7.1794578615208798E-2</v>
      </c>
      <c r="D87">
        <v>0.25423509467641298</v>
      </c>
      <c r="E87">
        <f>SQRT(D87)</f>
        <v>0.50421730898136863</v>
      </c>
      <c r="F87">
        <v>68995.306172284705</v>
      </c>
      <c r="G87">
        <v>8.3932421999634208</v>
      </c>
      <c r="H87">
        <v>91690.968029079493</v>
      </c>
      <c r="I87">
        <f>H87/F87</f>
        <v>1.328945012579879</v>
      </c>
      <c r="J87">
        <v>1.2293969999882299</v>
      </c>
      <c r="K87">
        <v>1388148.38521875</v>
      </c>
      <c r="L87" t="s">
        <v>44</v>
      </c>
      <c r="M87" t="s">
        <v>37</v>
      </c>
      <c r="N87">
        <v>266</v>
      </c>
      <c r="O87">
        <f>(N87+1)/B87</f>
        <v>0.62093023255813951</v>
      </c>
      <c r="P87">
        <v>94603.300828204505</v>
      </c>
      <c r="Q87">
        <f>P87/F87</f>
        <v>1.3711556057447642</v>
      </c>
      <c r="R87">
        <v>8.3932421999634208</v>
      </c>
      <c r="S87">
        <v>395</v>
      </c>
      <c r="T87">
        <f>(S87+1)/B87</f>
        <v>0.92093023255813955</v>
      </c>
      <c r="U87">
        <v>89766.934323285095</v>
      </c>
      <c r="V87">
        <f>U87/F87</f>
        <v>1.3010585691022605</v>
      </c>
      <c r="W87">
        <v>2.3824744999874299</v>
      </c>
      <c r="X87" t="str">
        <f>IF(H87=MIN(H87,P87,U87),"Christofides",IF(P87=MIN(H87,P87,U87),"Arithmetic Series","Nearest Neighbor"))</f>
        <v>Nearest Neighbor</v>
      </c>
      <c r="Y87">
        <f>MIN(H87,P87,U87)</f>
        <v>89766.934323285095</v>
      </c>
      <c r="Z87">
        <f>Y87/F87</f>
        <v>1.3010585691022605</v>
      </c>
      <c r="AA87">
        <v>3685</v>
      </c>
      <c r="AB87">
        <v>4280</v>
      </c>
      <c r="AC87">
        <f>AA87/AB87</f>
        <v>0.86098130841121501</v>
      </c>
      <c r="AD87">
        <v>0</v>
      </c>
      <c r="AE87">
        <v>89766.934323285095</v>
      </c>
      <c r="AF87">
        <v>2</v>
      </c>
      <c r="AG87">
        <f>AF87/AB87</f>
        <v>4.6728971962616824E-4</v>
      </c>
      <c r="AH87" s="1">
        <v>5.8207660913467401E-11</v>
      </c>
      <c r="AI87" s="4">
        <v>89568.639290288498</v>
      </c>
      <c r="AJ87" s="4">
        <v>2633</v>
      </c>
      <c r="AK87" s="4">
        <f>AJ87/AB87</f>
        <v>0.61518691588785046</v>
      </c>
      <c r="AL87">
        <v>89479.554578912401</v>
      </c>
      <c r="AM87">
        <f>AL87/F87</f>
        <v>1.2968933619263536</v>
      </c>
      <c r="AN87">
        <v>0.77397079998627305</v>
      </c>
      <c r="AO87">
        <v>0</v>
      </c>
      <c r="AP87">
        <f>AO87/10</f>
        <v>0</v>
      </c>
      <c r="AQ87">
        <v>89766.934323285095</v>
      </c>
      <c r="AR87">
        <f>AQ87/F87</f>
        <v>1.3010585691022605</v>
      </c>
      <c r="AS87">
        <v>56.589440500014398</v>
      </c>
      <c r="AT87">
        <v>78</v>
      </c>
      <c r="AU87">
        <f>AT87/100</f>
        <v>0.78</v>
      </c>
      <c r="AV87">
        <v>89409.261197375003</v>
      </c>
      <c r="AW87">
        <f>AV87/F87</f>
        <v>1.2958745479600546</v>
      </c>
      <c r="AX87">
        <v>49.274040399992302</v>
      </c>
      <c r="AY87" t="str">
        <f>IF(AL87=MIN(AL87,AQ87,AV87),"Simulated Annealing",IF(AQ87=MIN(AL87,AQ87,AV87),"Ant Colony Optimization","Genetic Algorithm"))</f>
        <v>Genetic Algorithm</v>
      </c>
      <c r="AZ87">
        <f>MIN(AL87,AQ87,AV87)</f>
        <v>89409.261197375003</v>
      </c>
      <c r="BA87">
        <f>AZ87/F87</f>
        <v>1.2958745479600546</v>
      </c>
      <c r="BB87">
        <v>84969.975569454706</v>
      </c>
      <c r="BC87">
        <f>BB87/F87</f>
        <v>1.2315326981415295</v>
      </c>
      <c r="BD87">
        <v>9.6000000000000002E-2</v>
      </c>
      <c r="BE87">
        <v>5</v>
      </c>
      <c r="BF87">
        <v>5</v>
      </c>
    </row>
    <row r="88" spans="1:58" x14ac:dyDescent="0.3">
      <c r="A88">
        <v>104</v>
      </c>
      <c r="B88">
        <v>435</v>
      </c>
      <c r="C88">
        <v>7.0985267088046505E-2</v>
      </c>
      <c r="D88">
        <v>0.12380166696476599</v>
      </c>
      <c r="E88">
        <f>SQRT(D88)</f>
        <v>0.35185461054925227</v>
      </c>
      <c r="F88">
        <v>68957.193592901996</v>
      </c>
      <c r="G88">
        <v>8.4819377000094391</v>
      </c>
      <c r="H88">
        <v>94161.564193032304</v>
      </c>
      <c r="I88">
        <f>H88/F88</f>
        <v>1.3655074878616389</v>
      </c>
      <c r="J88">
        <v>1.2300017999950701</v>
      </c>
      <c r="K88">
        <v>1423813.9714281899</v>
      </c>
      <c r="L88" t="s">
        <v>44</v>
      </c>
      <c r="M88">
        <v>0</v>
      </c>
      <c r="N88">
        <v>350</v>
      </c>
      <c r="O88">
        <f>(N88+1)/B88</f>
        <v>0.80689655172413788</v>
      </c>
      <c r="P88">
        <v>96175.861843283594</v>
      </c>
      <c r="Q88">
        <f>P88/F88</f>
        <v>1.3947183293315364</v>
      </c>
      <c r="R88">
        <v>8.4819377000094391</v>
      </c>
      <c r="S88">
        <v>107</v>
      </c>
      <c r="T88">
        <f>(S88+1)/B88</f>
        <v>0.24827586206896551</v>
      </c>
      <c r="U88">
        <v>91659.686292513405</v>
      </c>
      <c r="V88">
        <f>U88/F88</f>
        <v>1.3292258793714635</v>
      </c>
      <c r="W88">
        <v>2.4935231999843301</v>
      </c>
      <c r="X88" t="str">
        <f>IF(H88=MIN(H88,P88,U88),"Christofides",IF(P88=MIN(H88,P88,U88),"Arithmetic Series","Nearest Neighbor"))</f>
        <v>Nearest Neighbor</v>
      </c>
      <c r="Y88">
        <f>MIN(H88,P88,U88)</f>
        <v>91659.686292513405</v>
      </c>
      <c r="Z88">
        <f>Y88/F88</f>
        <v>1.3292258793714635</v>
      </c>
      <c r="AA88">
        <v>3387</v>
      </c>
      <c r="AB88">
        <v>4281</v>
      </c>
      <c r="AC88">
        <f>AA88/AB88</f>
        <v>0.79117028731604766</v>
      </c>
      <c r="AD88">
        <v>0</v>
      </c>
      <c r="AE88">
        <v>91603.123111564593</v>
      </c>
      <c r="AF88">
        <v>1580</v>
      </c>
      <c r="AG88">
        <f>AF88/AB88</f>
        <v>0.36907264657790234</v>
      </c>
      <c r="AH88" s="1">
        <v>5.8207660913467401E-11</v>
      </c>
      <c r="AI88" s="4">
        <v>91603.123111564593</v>
      </c>
      <c r="AJ88" s="4">
        <v>1580</v>
      </c>
      <c r="AK88" s="4">
        <f>AJ88/AB88</f>
        <v>0.36907264657790234</v>
      </c>
      <c r="AL88">
        <v>91489.494006809196</v>
      </c>
      <c r="AM88">
        <f>AL88/F88</f>
        <v>1.3267577933482857</v>
      </c>
      <c r="AN88">
        <v>0.80855180002981797</v>
      </c>
      <c r="AO88">
        <v>5</v>
      </c>
      <c r="AP88">
        <f>AO88/10</f>
        <v>0.5</v>
      </c>
      <c r="AQ88">
        <v>91482.0851001259</v>
      </c>
      <c r="AR88">
        <f>AQ88/F88</f>
        <v>1.3266503512338772</v>
      </c>
      <c r="AS88">
        <v>60.421898799948302</v>
      </c>
      <c r="AT88">
        <v>53</v>
      </c>
      <c r="AU88">
        <f>AT88/100</f>
        <v>0.53</v>
      </c>
      <c r="AV88">
        <v>91311.227520995599</v>
      </c>
      <c r="AW88">
        <f>AV88/F88</f>
        <v>1.3241726172915858</v>
      </c>
      <c r="AX88">
        <v>52.666455799946498</v>
      </c>
      <c r="AY88" t="str">
        <f>IF(AL88=MIN(AL88,AQ88,AV88),"Simulated Annealing",IF(AQ88=MIN(AL88,AQ88,AV88),"Ant Colony Optimization","Genetic Algorithm"))</f>
        <v>Genetic Algorithm</v>
      </c>
      <c r="AZ88">
        <f>MIN(AL88,AQ88,AV88)</f>
        <v>91311.227520995599</v>
      </c>
      <c r="BA88">
        <f>AZ88/F88</f>
        <v>1.3241726172915858</v>
      </c>
      <c r="BB88">
        <v>84771.145540989106</v>
      </c>
      <c r="BC88">
        <f>BB88/F88</f>
        <v>1.2293299817484871</v>
      </c>
      <c r="BD88">
        <v>4.8000000000000001E-2</v>
      </c>
      <c r="BE88">
        <v>5</v>
      </c>
      <c r="BF88">
        <v>5.0190000000000001</v>
      </c>
    </row>
    <row r="89" spans="1:58" x14ac:dyDescent="0.3">
      <c r="A89">
        <v>44</v>
      </c>
      <c r="B89">
        <v>440</v>
      </c>
      <c r="C89">
        <v>7.0868372449103795E-2</v>
      </c>
      <c r="D89">
        <v>0.16929375113655601</v>
      </c>
      <c r="E89">
        <f>SQRT(D89)</f>
        <v>0.41145321864892004</v>
      </c>
      <c r="F89">
        <v>70457.869065727005</v>
      </c>
      <c r="G89">
        <v>8.5992113000247592</v>
      </c>
      <c r="H89">
        <v>90619.449143678605</v>
      </c>
      <c r="I89">
        <f>H89/F89</f>
        <v>1.2861508635627876</v>
      </c>
      <c r="J89">
        <v>1.2567497999989401</v>
      </c>
      <c r="K89">
        <v>1459955.1106642999</v>
      </c>
      <c r="L89" t="s">
        <v>44</v>
      </c>
      <c r="M89">
        <v>0</v>
      </c>
      <c r="N89">
        <v>216</v>
      </c>
      <c r="O89">
        <f>(N89+1)/B89</f>
        <v>0.49318181818181817</v>
      </c>
      <c r="P89">
        <v>95652.066976070302</v>
      </c>
      <c r="Q89">
        <f>P89/F89</f>
        <v>1.3575781987791988</v>
      </c>
      <c r="R89">
        <v>8.5992113000247592</v>
      </c>
      <c r="S89">
        <v>76</v>
      </c>
      <c r="T89">
        <f>(S89+1)/B89</f>
        <v>0.17499999999999999</v>
      </c>
      <c r="U89">
        <v>90737.183566030799</v>
      </c>
      <c r="V89">
        <f>U89/F89</f>
        <v>1.2878218539562434</v>
      </c>
      <c r="W89">
        <v>2.9155954000307198</v>
      </c>
      <c r="X89" t="str">
        <f>IF(H89=MIN(H89,P89,U89),"Christofides",IF(P89=MIN(H89,P89,U89),"Arithmetic Series","Nearest Neighbor"))</f>
        <v>Christofides</v>
      </c>
      <c r="Y89">
        <f>MIN(H89,P89,U89)</f>
        <v>90619.449143678605</v>
      </c>
      <c r="Z89">
        <f>Y89/F89</f>
        <v>1.2861508635627876</v>
      </c>
      <c r="AA89">
        <v>3972</v>
      </c>
      <c r="AB89">
        <v>4283</v>
      </c>
      <c r="AC89">
        <f>AA89/AB89</f>
        <v>0.92738734531870182</v>
      </c>
      <c r="AD89">
        <v>0</v>
      </c>
      <c r="AE89">
        <v>90619.449143678605</v>
      </c>
      <c r="AF89">
        <v>92</v>
      </c>
      <c r="AG89">
        <f>AF89/AB89</f>
        <v>2.1480270838197525E-2</v>
      </c>
      <c r="AH89">
        <v>7.2987959010933903</v>
      </c>
      <c r="AI89" s="4">
        <v>90626.747939579698</v>
      </c>
      <c r="AJ89" s="4">
        <v>569</v>
      </c>
      <c r="AK89" s="4">
        <f>AJ89/AB89</f>
        <v>0.13285080551015643</v>
      </c>
      <c r="AL89">
        <v>90215.464088153603</v>
      </c>
      <c r="AM89">
        <f>AL89/F89</f>
        <v>1.2804171526106702</v>
      </c>
      <c r="AN89">
        <v>1.1837669999804299</v>
      </c>
      <c r="AO89">
        <v>0</v>
      </c>
      <c r="AP89">
        <f>AO89/10</f>
        <v>0</v>
      </c>
      <c r="AQ89">
        <v>90619.449143678605</v>
      </c>
      <c r="AR89">
        <f>AQ89/F89</f>
        <v>1.2861508635627876</v>
      </c>
      <c r="AS89">
        <v>66.639661599998306</v>
      </c>
      <c r="AT89">
        <v>71</v>
      </c>
      <c r="AU89">
        <f>AT89/100</f>
        <v>0.71</v>
      </c>
      <c r="AV89">
        <v>90406.668318318305</v>
      </c>
      <c r="AW89">
        <f>AV89/F89</f>
        <v>1.2831308910858765</v>
      </c>
      <c r="AX89">
        <v>53.524510699964502</v>
      </c>
      <c r="AY89" t="str">
        <f>IF(AL89=MIN(AL89,AQ89,AV89),"Simulated Annealing",IF(AQ89=MIN(AL89,AQ89,AV89),"Ant Colony Optimization","Genetic Algorithm"))</f>
        <v>Simulated Annealing</v>
      </c>
      <c r="AZ89">
        <f>MIN(AL89,AQ89,AV89)</f>
        <v>90215.464088153603</v>
      </c>
      <c r="BA89">
        <f>AZ89/F89</f>
        <v>1.2804171526106702</v>
      </c>
      <c r="BB89">
        <v>86151.555098727797</v>
      </c>
      <c r="BC89">
        <f>BB89/F89</f>
        <v>1.2227385846478107</v>
      </c>
      <c r="BD89">
        <v>0.08</v>
      </c>
      <c r="BE89">
        <v>5</v>
      </c>
      <c r="BF89">
        <v>5</v>
      </c>
    </row>
    <row r="90" spans="1:58" x14ac:dyDescent="0.3">
      <c r="A90">
        <v>105</v>
      </c>
      <c r="B90">
        <v>445</v>
      </c>
      <c r="C90">
        <v>6.8120666668632299E-2</v>
      </c>
      <c r="D90">
        <v>0.16989277504394601</v>
      </c>
      <c r="E90">
        <f>SQRT(D90)</f>
        <v>0.41218051269309908</v>
      </c>
      <c r="F90">
        <v>69379.188976329504</v>
      </c>
      <c r="G90">
        <v>9.5274006999097693</v>
      </c>
      <c r="H90">
        <v>93172.533453333395</v>
      </c>
      <c r="I90">
        <f>H90/F90</f>
        <v>1.3429464199289156</v>
      </c>
      <c r="J90">
        <v>1.30968870001379</v>
      </c>
      <c r="K90">
        <v>1496590.3796540999</v>
      </c>
      <c r="L90" t="s">
        <v>44</v>
      </c>
      <c r="M90">
        <v>1</v>
      </c>
      <c r="N90">
        <v>267</v>
      </c>
      <c r="O90">
        <f>(N90+1)/B90</f>
        <v>0.60224719101123592</v>
      </c>
      <c r="P90">
        <v>95964.832212850393</v>
      </c>
      <c r="Q90">
        <f>P90/F90</f>
        <v>1.3831933412423034</v>
      </c>
      <c r="R90">
        <v>9.5274006999097693</v>
      </c>
      <c r="S90">
        <v>117</v>
      </c>
      <c r="T90">
        <f>(S90+1)/B90</f>
        <v>0.26516853932584272</v>
      </c>
      <c r="U90">
        <v>90910.720070766998</v>
      </c>
      <c r="V90">
        <f>U90/F90</f>
        <v>1.310345672991126</v>
      </c>
      <c r="W90">
        <v>2.5342251000693001</v>
      </c>
      <c r="X90" t="str">
        <f>IF(H90=MIN(H90,P90,U90),"Christofides",IF(P90=MIN(H90,P90,U90),"Arithmetic Series","Nearest Neighbor"))</f>
        <v>Nearest Neighbor</v>
      </c>
      <c r="Y90">
        <f>MIN(H90,P90,U90)</f>
        <v>90910.720070766998</v>
      </c>
      <c r="Z90">
        <f>Y90/F90</f>
        <v>1.310345672991126</v>
      </c>
      <c r="AA90">
        <v>4246</v>
      </c>
      <c r="AB90">
        <v>4284</v>
      </c>
      <c r="AC90">
        <f>AA90/AB90</f>
        <v>0.99112978524743234</v>
      </c>
      <c r="AD90">
        <v>0</v>
      </c>
      <c r="AE90">
        <v>90921.605257456496</v>
      </c>
      <c r="AF90">
        <v>136</v>
      </c>
      <c r="AG90">
        <f>AF90/AB90</f>
        <v>3.1746031746031744E-2</v>
      </c>
      <c r="AH90">
        <v>10.885186689542</v>
      </c>
      <c r="AI90" s="4">
        <v>90921.605257456496</v>
      </c>
      <c r="AJ90" s="4">
        <v>136</v>
      </c>
      <c r="AK90" s="4">
        <f>AJ90/AB90</f>
        <v>3.1746031746031744E-2</v>
      </c>
      <c r="AL90">
        <v>89954.014466164794</v>
      </c>
      <c r="AM90">
        <f>AL90/F90</f>
        <v>1.296556154567545</v>
      </c>
      <c r="AN90">
        <v>0.82561579998582602</v>
      </c>
      <c r="AO90">
        <v>1</v>
      </c>
      <c r="AP90">
        <f>AO90/10</f>
        <v>0.1</v>
      </c>
      <c r="AQ90">
        <v>90910.720070766998</v>
      </c>
      <c r="AR90">
        <f>AQ90/F90</f>
        <v>1.310345672991126</v>
      </c>
      <c r="AS90">
        <v>63.298594699939699</v>
      </c>
      <c r="AT90">
        <v>69</v>
      </c>
      <c r="AU90">
        <f>AT90/100</f>
        <v>0.69</v>
      </c>
      <c r="AV90">
        <v>90838.333447570403</v>
      </c>
      <c r="AW90">
        <f>AV90/F90</f>
        <v>1.3093023252053615</v>
      </c>
      <c r="AX90">
        <v>57.002519999979903</v>
      </c>
      <c r="AY90" t="str">
        <f>IF(AL90=MIN(AL90,AQ90,AV90),"Simulated Annealing",IF(AQ90=MIN(AL90,AQ90,AV90),"Ant Colony Optimization","Genetic Algorithm"))</f>
        <v>Simulated Annealing</v>
      </c>
      <c r="AZ90">
        <f>MIN(AL90,AQ90,AV90)</f>
        <v>89954.014466164794</v>
      </c>
      <c r="BA90">
        <f>AZ90/F90</f>
        <v>1.296556154567545</v>
      </c>
      <c r="BB90">
        <v>85917.492436431698</v>
      </c>
      <c r="BC90">
        <f>BB90/F90</f>
        <v>1.2383755662774418</v>
      </c>
      <c r="BD90">
        <v>9.6000000000000002E-2</v>
      </c>
      <c r="BE90">
        <v>5</v>
      </c>
      <c r="BF90">
        <v>5</v>
      </c>
    </row>
    <row r="91" spans="1:58" x14ac:dyDescent="0.3">
      <c r="A91">
        <v>45</v>
      </c>
      <c r="B91">
        <v>450</v>
      </c>
      <c r="C91">
        <v>6.6600038204464196E-2</v>
      </c>
      <c r="D91">
        <v>0.106717629420128</v>
      </c>
      <c r="E91">
        <f>SQRT(D91)</f>
        <v>0.32667664351791054</v>
      </c>
      <c r="F91">
        <v>71140.296307644603</v>
      </c>
      <c r="G91">
        <v>10.5158747999812</v>
      </c>
      <c r="H91">
        <v>95452.532566635404</v>
      </c>
      <c r="I91">
        <f>H91/F91</f>
        <v>1.3417505622109456</v>
      </c>
      <c r="J91">
        <v>2.0746581000275901</v>
      </c>
      <c r="K91">
        <v>1533711.86682922</v>
      </c>
      <c r="L91" t="s">
        <v>44</v>
      </c>
      <c r="M91">
        <v>0</v>
      </c>
      <c r="N91">
        <v>200</v>
      </c>
      <c r="O91">
        <f>(N91+1)/B91</f>
        <v>0.44666666666666666</v>
      </c>
      <c r="P91">
        <v>101480.122480793</v>
      </c>
      <c r="Q91">
        <f>P91/F91</f>
        <v>1.4264787714960379</v>
      </c>
      <c r="R91">
        <v>10.5158747999812</v>
      </c>
      <c r="S91">
        <v>151</v>
      </c>
      <c r="T91">
        <f>(S91+1)/B91</f>
        <v>0.33777777777777779</v>
      </c>
      <c r="U91">
        <v>93120.327808202506</v>
      </c>
      <c r="V91">
        <f>U91/F91</f>
        <v>1.3089673875619769</v>
      </c>
      <c r="W91">
        <v>3.9983431000145999</v>
      </c>
      <c r="X91" t="str">
        <f>IF(H91=MIN(H91,P91,U91),"Christofides",IF(P91=MIN(H91,P91,U91),"Arithmetic Series","Nearest Neighbor"))</f>
        <v>Nearest Neighbor</v>
      </c>
      <c r="Y91">
        <f>MIN(H91,P91,U91)</f>
        <v>93120.327808202506</v>
      </c>
      <c r="Z91">
        <f>Y91/F91</f>
        <v>1.3089673875619769</v>
      </c>
      <c r="AA91">
        <v>3878</v>
      </c>
      <c r="AB91">
        <v>4285</v>
      </c>
      <c r="AC91">
        <f>AA91/AB91</f>
        <v>0.90501750291715288</v>
      </c>
      <c r="AD91">
        <v>0</v>
      </c>
      <c r="AE91">
        <v>92992.137039682304</v>
      </c>
      <c r="AF91">
        <v>1747</v>
      </c>
      <c r="AG91">
        <f>AF91/AB91</f>
        <v>0.40770128354725788</v>
      </c>
      <c r="AH91" s="1">
        <v>1.6007106751203501E-10</v>
      </c>
      <c r="AI91" s="4">
        <v>92992.137039682304</v>
      </c>
      <c r="AJ91" s="4">
        <v>1747</v>
      </c>
      <c r="AK91" s="4">
        <f>AJ91/AB91</f>
        <v>0.40770128354725788</v>
      </c>
      <c r="AL91">
        <v>92533.183885883394</v>
      </c>
      <c r="AM91">
        <f>AL91/F91</f>
        <v>1.3007140634574494</v>
      </c>
      <c r="AN91">
        <v>1.2160595000023</v>
      </c>
      <c r="AO91">
        <v>0</v>
      </c>
      <c r="AP91">
        <f>AO91/10</f>
        <v>0</v>
      </c>
      <c r="AQ91">
        <v>93120.327808202506</v>
      </c>
      <c r="AR91">
        <f>AQ91/F91</f>
        <v>1.3089673875619769</v>
      </c>
      <c r="AS91">
        <v>63.9372483000042</v>
      </c>
      <c r="AT91">
        <v>76</v>
      </c>
      <c r="AU91">
        <f>AT91/100</f>
        <v>0.76</v>
      </c>
      <c r="AV91">
        <v>92761.660167406502</v>
      </c>
      <c r="AW91">
        <f>AV91/F91</f>
        <v>1.3039256930595398</v>
      </c>
      <c r="AX91">
        <v>57.259095999994301</v>
      </c>
      <c r="AY91" t="str">
        <f>IF(AL91=MIN(AL91,AQ91,AV91),"Simulated Annealing",IF(AQ91=MIN(AL91,AQ91,AV91),"Ant Colony Optimization","Genetic Algorithm"))</f>
        <v>Simulated Annealing</v>
      </c>
      <c r="AZ91">
        <f>MIN(AL91,AQ91,AV91)</f>
        <v>92533.183885883394</v>
      </c>
      <c r="BA91">
        <f>AZ91/F91</f>
        <v>1.3007140634574494</v>
      </c>
      <c r="BB91">
        <v>88147.883490816996</v>
      </c>
      <c r="BC91">
        <f>BB91/F91</f>
        <v>1.239071075971113</v>
      </c>
      <c r="BD91">
        <v>0.112</v>
      </c>
      <c r="BE91">
        <v>5</v>
      </c>
      <c r="BF91">
        <v>5</v>
      </c>
    </row>
    <row r="92" spans="1:58" x14ac:dyDescent="0.3">
      <c r="A92">
        <v>106</v>
      </c>
      <c r="B92">
        <v>455</v>
      </c>
      <c r="C92">
        <v>6.6432134295687006E-2</v>
      </c>
      <c r="D92">
        <v>0.28938638228039398</v>
      </c>
      <c r="E92">
        <f>SQRT(D92)</f>
        <v>0.53794644926832069</v>
      </c>
      <c r="F92">
        <v>72205.161670040194</v>
      </c>
      <c r="G92">
        <v>9.8874436999903992</v>
      </c>
      <c r="H92">
        <v>97073.941848845003</v>
      </c>
      <c r="I92">
        <f>H92/F92</f>
        <v>1.3444183158601459</v>
      </c>
      <c r="J92">
        <v>1.39369129994884</v>
      </c>
      <c r="K92">
        <v>1571316.4880943999</v>
      </c>
      <c r="L92" t="s">
        <v>44</v>
      </c>
      <c r="M92">
        <v>1</v>
      </c>
      <c r="N92">
        <v>164</v>
      </c>
      <c r="O92">
        <f>(N92+1)/B92</f>
        <v>0.36263736263736263</v>
      </c>
      <c r="P92">
        <v>106089.291200619</v>
      </c>
      <c r="Q92">
        <f>P92/F92</f>
        <v>1.4692757241569645</v>
      </c>
      <c r="R92">
        <v>9.8874436999903992</v>
      </c>
      <c r="S92">
        <v>68</v>
      </c>
      <c r="T92">
        <f>(S92+1)/B92</f>
        <v>0.15164835164835164</v>
      </c>
      <c r="U92">
        <v>96668.022746130897</v>
      </c>
      <c r="V92">
        <f>U92/F92</f>
        <v>1.3387965695289203</v>
      </c>
      <c r="W92">
        <v>2.9292505000485098</v>
      </c>
      <c r="X92" t="str">
        <f>IF(H92=MIN(H92,P92,U92),"Christofides",IF(P92=MIN(H92,P92,U92),"Arithmetic Series","Nearest Neighbor"))</f>
        <v>Nearest Neighbor</v>
      </c>
      <c r="Y92">
        <f>MIN(H92,P92,U92)</f>
        <v>96668.022746130897</v>
      </c>
      <c r="Z92">
        <f>Y92/F92</f>
        <v>1.3387965695289203</v>
      </c>
      <c r="AA92">
        <v>1634</v>
      </c>
      <c r="AB92">
        <v>4286</v>
      </c>
      <c r="AC92">
        <f>AA92/AB92</f>
        <v>0.38124125058329444</v>
      </c>
      <c r="AD92">
        <v>0</v>
      </c>
      <c r="AE92">
        <v>96563.097640316206</v>
      </c>
      <c r="AF92">
        <v>690</v>
      </c>
      <c r="AG92">
        <f>AF92/AB92</f>
        <v>0.16098926738217453</v>
      </c>
      <c r="AH92" s="1">
        <v>1.45519152283668E-10</v>
      </c>
      <c r="AI92" s="4">
        <v>95983.887203285805</v>
      </c>
      <c r="AJ92" s="4">
        <v>2677</v>
      </c>
      <c r="AK92" s="4">
        <f>AJ92/AB92</f>
        <v>0.62459169388707414</v>
      </c>
      <c r="AL92">
        <v>95983.887203285703</v>
      </c>
      <c r="AM92">
        <f>AL92/F92</f>
        <v>1.3293216853652157</v>
      </c>
      <c r="AN92">
        <v>0.88036740000825298</v>
      </c>
      <c r="AO92">
        <v>0</v>
      </c>
      <c r="AP92">
        <f>AO92/10</f>
        <v>0</v>
      </c>
      <c r="AQ92">
        <v>96668.022746130897</v>
      </c>
      <c r="AR92">
        <f>AQ92/F92</f>
        <v>1.3387965695289203</v>
      </c>
      <c r="AS92">
        <v>68.381965200067498</v>
      </c>
      <c r="AT92">
        <v>95</v>
      </c>
      <c r="AU92">
        <f>AT92/100</f>
        <v>0.95</v>
      </c>
      <c r="AV92">
        <v>96539.6426498246</v>
      </c>
      <c r="AW92">
        <f>AV92/F92</f>
        <v>1.3370185789623599</v>
      </c>
      <c r="AX92">
        <v>58.691789700067602</v>
      </c>
      <c r="AY92" t="str">
        <f>IF(AL92=MIN(AL92,AQ92,AV92),"Simulated Annealing",IF(AQ92=MIN(AL92,AQ92,AV92),"Ant Colony Optimization","Genetic Algorithm"))</f>
        <v>Simulated Annealing</v>
      </c>
      <c r="AZ92">
        <f>MIN(AL92,AQ92,AV92)</f>
        <v>95983.887203285703</v>
      </c>
      <c r="BA92">
        <f>AZ92/F92</f>
        <v>1.3293216853652157</v>
      </c>
      <c r="BB92">
        <v>88933.889040151</v>
      </c>
      <c r="BC92">
        <f>BB92/F92</f>
        <v>1.2316832617390565</v>
      </c>
      <c r="BD92">
        <v>0.112</v>
      </c>
      <c r="BE92">
        <v>5</v>
      </c>
      <c r="BF92">
        <v>5.0519999999999996</v>
      </c>
    </row>
    <row r="93" spans="1:58" x14ac:dyDescent="0.3">
      <c r="A93">
        <v>46</v>
      </c>
      <c r="B93">
        <v>460</v>
      </c>
      <c r="C93">
        <v>6.4588281055610805E-2</v>
      </c>
      <c r="D93">
        <v>0.19962350411110499</v>
      </c>
      <c r="E93">
        <f>SQRT(D93)</f>
        <v>0.44679246201240347</v>
      </c>
      <c r="F93">
        <v>71411.195429498504</v>
      </c>
      <c r="G93">
        <v>9.7111430999939294</v>
      </c>
      <c r="H93">
        <v>90373.094933559696</v>
      </c>
      <c r="I93">
        <f>H93/F93</f>
        <v>1.2655311872321411</v>
      </c>
      <c r="J93">
        <v>1.38983090000692</v>
      </c>
      <c r="K93">
        <v>1609415.9400267601</v>
      </c>
      <c r="L93" t="s">
        <v>44</v>
      </c>
      <c r="M93">
        <v>0</v>
      </c>
      <c r="N93">
        <v>379</v>
      </c>
      <c r="O93">
        <f>(N93+1)/B93</f>
        <v>0.82608695652173914</v>
      </c>
      <c r="P93">
        <v>100720.521627329</v>
      </c>
      <c r="Q93">
        <f>P93/F93</f>
        <v>1.4104304097074869</v>
      </c>
      <c r="R93">
        <v>9.7111430999939294</v>
      </c>
      <c r="S93">
        <v>413</v>
      </c>
      <c r="T93">
        <f>(S93+1)/B93</f>
        <v>0.9</v>
      </c>
      <c r="U93">
        <v>94989.575470845695</v>
      </c>
      <c r="V93">
        <f>U93/F93</f>
        <v>1.3301776409082131</v>
      </c>
      <c r="W93">
        <v>3.17959179996978</v>
      </c>
      <c r="X93" t="str">
        <f>IF(H93=MIN(H93,P93,U93),"Christofides",IF(P93=MIN(H93,P93,U93),"Arithmetic Series","Nearest Neighbor"))</f>
        <v>Christofides</v>
      </c>
      <c r="Y93">
        <f>MIN(H93,P93,U93)</f>
        <v>90373.094933559696</v>
      </c>
      <c r="Z93">
        <f>Y93/F93</f>
        <v>1.2655311872321411</v>
      </c>
      <c r="AA93">
        <v>3711</v>
      </c>
      <c r="AB93">
        <v>4287</v>
      </c>
      <c r="AC93">
        <f>AA93/AB93</f>
        <v>0.86564030790762769</v>
      </c>
      <c r="AD93">
        <v>0</v>
      </c>
      <c r="AE93">
        <v>90373.094933559696</v>
      </c>
      <c r="AF93">
        <v>37</v>
      </c>
      <c r="AG93">
        <f>AF93/AB93</f>
        <v>8.6307441101003031E-3</v>
      </c>
      <c r="AH93" s="1">
        <v>2.91038304567337E-11</v>
      </c>
      <c r="AI93" s="4">
        <v>90373.094933559696</v>
      </c>
      <c r="AJ93" s="4">
        <v>37</v>
      </c>
      <c r="AK93" s="4">
        <f>AJ93/AB93</f>
        <v>8.6307441101003031E-3</v>
      </c>
      <c r="AL93">
        <v>90358.768112118894</v>
      </c>
      <c r="AM93">
        <f>AL93/F93</f>
        <v>1.2653305629273017</v>
      </c>
      <c r="AN93">
        <v>0.86396039999090102</v>
      </c>
      <c r="AO93">
        <v>0</v>
      </c>
      <c r="AP93">
        <f>AO93/10</f>
        <v>0</v>
      </c>
      <c r="AQ93">
        <v>90373.094933559696</v>
      </c>
      <c r="AR93">
        <f>AQ93/F93</f>
        <v>1.2655311872321411</v>
      </c>
      <c r="AS93">
        <v>68.237834999978006</v>
      </c>
      <c r="AT93">
        <v>0</v>
      </c>
      <c r="AU93">
        <f>AT93/100</f>
        <v>0</v>
      </c>
      <c r="AV93">
        <v>90373.094933559696</v>
      </c>
      <c r="AW93">
        <f>AV93/F93</f>
        <v>1.2655311872321411</v>
      </c>
      <c r="AX93">
        <v>60.326255500025503</v>
      </c>
      <c r="AY93" t="str">
        <f>IF(AL93=MIN(AL93,AQ93,AV93),"Simulated Annealing",IF(AQ93=MIN(AL93,AQ93,AV93),"Ant Colony Optimization","Genetic Algorithm"))</f>
        <v>Simulated Annealing</v>
      </c>
      <c r="AZ93">
        <f>MIN(AL93,AQ93,AV93)</f>
        <v>90358.768112118894</v>
      </c>
      <c r="BA93">
        <f>AZ93/F93</f>
        <v>1.2653305629273017</v>
      </c>
      <c r="BB93">
        <v>89929.925716839207</v>
      </c>
      <c r="BC93">
        <f>BB93/F93</f>
        <v>1.2593253085312586</v>
      </c>
      <c r="BD93">
        <v>0.112</v>
      </c>
      <c r="BE93">
        <v>5</v>
      </c>
      <c r="BF93">
        <v>5.0190000000000001</v>
      </c>
    </row>
    <row r="94" spans="1:58" x14ac:dyDescent="0.3">
      <c r="A94">
        <v>107</v>
      </c>
      <c r="B94">
        <v>465</v>
      </c>
      <c r="C94">
        <v>6.0817298814843601E-2</v>
      </c>
      <c r="D94">
        <v>0.106366257740948</v>
      </c>
      <c r="E94">
        <f>SQRT(D94)</f>
        <v>0.32613840273869621</v>
      </c>
      <c r="F94">
        <v>72453.799351532405</v>
      </c>
      <c r="G94">
        <v>10.762872499995799</v>
      </c>
      <c r="H94">
        <v>96049.803035399105</v>
      </c>
      <c r="I94">
        <f>H94/F94</f>
        <v>1.3256696528691789</v>
      </c>
      <c r="J94">
        <v>1.46579719998408</v>
      </c>
      <c r="K94">
        <v>1647999.8670298499</v>
      </c>
      <c r="L94" t="s">
        <v>44</v>
      </c>
      <c r="M94" t="s">
        <v>37</v>
      </c>
      <c r="N94">
        <v>58</v>
      </c>
      <c r="O94">
        <f>(N94+1)/B94</f>
        <v>0.12688172043010754</v>
      </c>
      <c r="P94">
        <v>102554.58351586699</v>
      </c>
      <c r="Q94">
        <f>P94/F94</f>
        <v>1.4154479742089323</v>
      </c>
      <c r="R94">
        <v>10.762872499995799</v>
      </c>
      <c r="S94">
        <v>261</v>
      </c>
      <c r="T94">
        <f>(S94+1)/B94</f>
        <v>0.5634408602150538</v>
      </c>
      <c r="U94">
        <v>96833.644778017697</v>
      </c>
      <c r="V94">
        <f>U94/F94</f>
        <v>1.3364881572075855</v>
      </c>
      <c r="W94">
        <v>3.18018199992366</v>
      </c>
      <c r="X94" t="str">
        <f>IF(H94=MIN(H94,P94,U94),"Christofides",IF(P94=MIN(H94,P94,U94),"Arithmetic Series","Nearest Neighbor"))</f>
        <v>Christofides</v>
      </c>
      <c r="Y94">
        <f>MIN(H94,P94,U94)</f>
        <v>96049.803035399105</v>
      </c>
      <c r="Z94">
        <f>Y94/F94</f>
        <v>1.3256696528691789</v>
      </c>
      <c r="AA94">
        <v>2557</v>
      </c>
      <c r="AB94">
        <v>4288</v>
      </c>
      <c r="AC94">
        <f>AA94/AB94</f>
        <v>0.59631529850746268</v>
      </c>
      <c r="AD94">
        <v>0</v>
      </c>
      <c r="AE94">
        <v>96049.803035399105</v>
      </c>
      <c r="AF94">
        <v>803</v>
      </c>
      <c r="AG94">
        <f>AF94/AB94</f>
        <v>0.18726679104477612</v>
      </c>
      <c r="AH94" s="1">
        <v>1.45519152283668E-11</v>
      </c>
      <c r="AI94" s="4">
        <v>96049.803035399105</v>
      </c>
      <c r="AJ94" s="4">
        <v>803</v>
      </c>
      <c r="AK94" s="4">
        <f>AJ94/AB94</f>
        <v>0.18726679104477612</v>
      </c>
      <c r="AL94">
        <v>95389.144452179404</v>
      </c>
      <c r="AM94">
        <f>AL94/F94</f>
        <v>1.316551310019906</v>
      </c>
      <c r="AN94">
        <v>0.84555590001400505</v>
      </c>
      <c r="AO94">
        <v>1</v>
      </c>
      <c r="AP94">
        <f>AO94/10</f>
        <v>0.1</v>
      </c>
      <c r="AQ94">
        <v>96049.803035399105</v>
      </c>
      <c r="AR94">
        <f>AQ94/F94</f>
        <v>1.3256696528691789</v>
      </c>
      <c r="AS94">
        <v>72.360658899997304</v>
      </c>
      <c r="AT94">
        <v>8</v>
      </c>
      <c r="AU94">
        <f>AT94/100</f>
        <v>0.08</v>
      </c>
      <c r="AV94">
        <v>96047.179083928393</v>
      </c>
      <c r="AW94">
        <f>AV94/F94</f>
        <v>1.3256334373567531</v>
      </c>
      <c r="AX94">
        <v>64.117776399943907</v>
      </c>
      <c r="AY94" t="str">
        <f>IF(AL94=MIN(AL94,AQ94,AV94),"Simulated Annealing",IF(AQ94=MIN(AL94,AQ94,AV94),"Ant Colony Optimization","Genetic Algorithm"))</f>
        <v>Simulated Annealing</v>
      </c>
      <c r="AZ94">
        <f>MIN(AL94,AQ94,AV94)</f>
        <v>95389.144452179404</v>
      </c>
      <c r="BA94">
        <f>AZ94/F94</f>
        <v>1.316551310019906</v>
      </c>
      <c r="BB94">
        <v>88338.579768698197</v>
      </c>
      <c r="BC94">
        <f>BB94/F94</f>
        <v>1.2192401303911722</v>
      </c>
      <c r="BD94">
        <v>0.112</v>
      </c>
      <c r="BE94">
        <v>5</v>
      </c>
      <c r="BF94">
        <v>5</v>
      </c>
    </row>
    <row r="95" spans="1:58" x14ac:dyDescent="0.3">
      <c r="A95">
        <v>47</v>
      </c>
      <c r="B95">
        <v>470</v>
      </c>
      <c r="C95">
        <v>6.12455660572414E-2</v>
      </c>
      <c r="D95">
        <v>0.12971767528237901</v>
      </c>
      <c r="E95">
        <f>SQRT(D95)</f>
        <v>0.36016340080910358</v>
      </c>
      <c r="F95">
        <v>72412.619982132805</v>
      </c>
      <c r="G95">
        <v>11.1877963999868</v>
      </c>
      <c r="H95">
        <v>97928.993580037801</v>
      </c>
      <c r="I95">
        <f>H95/F95</f>
        <v>1.3523746772896899</v>
      </c>
      <c r="J95">
        <v>1.65268609998747</v>
      </c>
      <c r="K95">
        <v>1687073.6439629099</v>
      </c>
      <c r="L95" t="s">
        <v>44</v>
      </c>
      <c r="M95">
        <v>0</v>
      </c>
      <c r="N95">
        <v>269</v>
      </c>
      <c r="O95">
        <f>(N95+1)/B95</f>
        <v>0.57446808510638303</v>
      </c>
      <c r="P95">
        <v>100258.795527437</v>
      </c>
      <c r="Q95">
        <f>P95/F95</f>
        <v>1.384548653980135</v>
      </c>
      <c r="R95">
        <v>11.1877963999868</v>
      </c>
      <c r="S95">
        <v>336</v>
      </c>
      <c r="T95">
        <f>(S95+1)/B95</f>
        <v>0.71702127659574466</v>
      </c>
      <c r="U95">
        <v>96553.512504162005</v>
      </c>
      <c r="V95">
        <f>U95/F95</f>
        <v>1.3333796308983954</v>
      </c>
      <c r="W95">
        <v>3.2393608000129399</v>
      </c>
      <c r="X95" t="str">
        <f>IF(H95=MIN(H95,P95,U95),"Christofides",IF(P95=MIN(H95,P95,U95),"Arithmetic Series","Nearest Neighbor"))</f>
        <v>Nearest Neighbor</v>
      </c>
      <c r="Y95">
        <f>MIN(H95,P95,U95)</f>
        <v>96553.512504162005</v>
      </c>
      <c r="Z95">
        <f>Y95/F95</f>
        <v>1.3333796308983954</v>
      </c>
      <c r="AA95">
        <v>3453</v>
      </c>
      <c r="AB95">
        <v>4289</v>
      </c>
      <c r="AC95">
        <f>AA95/AB95</f>
        <v>0.80508276987642802</v>
      </c>
      <c r="AD95">
        <v>0</v>
      </c>
      <c r="AE95">
        <v>96553.512504162005</v>
      </c>
      <c r="AF95">
        <v>324</v>
      </c>
      <c r="AG95">
        <f>AF95/AB95</f>
        <v>7.5542084401958504E-2</v>
      </c>
      <c r="AH95" s="1">
        <v>1.45519152283668E-10</v>
      </c>
      <c r="AI95" s="4">
        <v>96087.306285096303</v>
      </c>
      <c r="AJ95" s="4">
        <v>2394</v>
      </c>
      <c r="AK95" s="4">
        <f>AJ95/AB95</f>
        <v>0.55817206808113784</v>
      </c>
      <c r="AL95">
        <v>95987.906760744299</v>
      </c>
      <c r="AM95">
        <f>AL95/F95</f>
        <v>1.325568758379803</v>
      </c>
      <c r="AN95">
        <v>0.85877689998596896</v>
      </c>
      <c r="AO95">
        <v>1</v>
      </c>
      <c r="AP95">
        <f>AO95/10</f>
        <v>0.1</v>
      </c>
      <c r="AQ95">
        <v>96553.512504162005</v>
      </c>
      <c r="AR95">
        <f>AQ95/F95</f>
        <v>1.3333796308983954</v>
      </c>
      <c r="AS95">
        <v>72.509130599966696</v>
      </c>
      <c r="AT95">
        <v>62</v>
      </c>
      <c r="AU95">
        <f>AT95/100</f>
        <v>0.62</v>
      </c>
      <c r="AV95">
        <v>95952.439902857994</v>
      </c>
      <c r="AW95">
        <f>AV95/F95</f>
        <v>1.325078970026681</v>
      </c>
      <c r="AX95">
        <v>65.1643596999929</v>
      </c>
      <c r="AY95" t="str">
        <f>IF(AL95=MIN(AL95,AQ95,AV95),"Simulated Annealing",IF(AQ95=MIN(AL95,AQ95,AV95),"Ant Colony Optimization","Genetic Algorithm"))</f>
        <v>Genetic Algorithm</v>
      </c>
      <c r="AZ95">
        <f>MIN(AL95,AQ95,AV95)</f>
        <v>95952.439902857994</v>
      </c>
      <c r="BA95">
        <f>AZ95/F95</f>
        <v>1.325078970026681</v>
      </c>
      <c r="BB95">
        <v>90291.400324600298</v>
      </c>
      <c r="BC95">
        <f>BB95/F95</f>
        <v>1.2469014426888425</v>
      </c>
      <c r="BD95">
        <v>0.112</v>
      </c>
      <c r="BE95">
        <v>5</v>
      </c>
      <c r="BF95">
        <v>5.024</v>
      </c>
    </row>
    <row r="96" spans="1:58" x14ac:dyDescent="0.3">
      <c r="A96">
        <v>108</v>
      </c>
      <c r="B96">
        <v>475</v>
      </c>
      <c r="C96">
        <v>5.9395639084007801E-2</v>
      </c>
      <c r="D96">
        <v>0.222611819674911</v>
      </c>
      <c r="E96">
        <f>SQRT(D96)</f>
        <v>0.47181757033297417</v>
      </c>
      <c r="F96">
        <v>71620.811023833594</v>
      </c>
      <c r="G96">
        <v>11.217514800024199</v>
      </c>
      <c r="H96">
        <v>93862.904333550803</v>
      </c>
      <c r="I96">
        <f>H96/F96</f>
        <v>1.3105534968364936</v>
      </c>
      <c r="J96">
        <v>1.5518988999538099</v>
      </c>
      <c r="K96">
        <v>1726641.2190113701</v>
      </c>
      <c r="L96" t="s">
        <v>44</v>
      </c>
      <c r="M96">
        <v>0</v>
      </c>
      <c r="N96">
        <v>157</v>
      </c>
      <c r="O96">
        <f>(N96+1)/B96</f>
        <v>0.33263157894736844</v>
      </c>
      <c r="P96">
        <v>104014.707423582</v>
      </c>
      <c r="Q96">
        <f>P96/F96</f>
        <v>1.4522972574126332</v>
      </c>
      <c r="R96">
        <v>11.217514800024199</v>
      </c>
      <c r="S96">
        <v>130</v>
      </c>
      <c r="T96">
        <f>(S96+1)/B96</f>
        <v>0.27578947368421053</v>
      </c>
      <c r="U96">
        <v>93583.6591257338</v>
      </c>
      <c r="V96">
        <f>U96/F96</f>
        <v>1.3066545573547266</v>
      </c>
      <c r="W96">
        <v>3.6121629000408499</v>
      </c>
      <c r="X96" t="str">
        <f>IF(H96=MIN(H96,P96,U96),"Christofides",IF(P96=MIN(H96,P96,U96),"Arithmetic Series","Nearest Neighbor"))</f>
        <v>Nearest Neighbor</v>
      </c>
      <c r="Y96">
        <f>MIN(H96,P96,U96)</f>
        <v>93583.6591257338</v>
      </c>
      <c r="Z96">
        <f>Y96/F96</f>
        <v>1.3066545573547266</v>
      </c>
      <c r="AA96">
        <v>4275</v>
      </c>
      <c r="AB96">
        <v>4290</v>
      </c>
      <c r="AC96">
        <f>AA96/AB96</f>
        <v>0.99650349650349646</v>
      </c>
      <c r="AD96">
        <v>0</v>
      </c>
      <c r="AE96">
        <v>92375.824725574596</v>
      </c>
      <c r="AF96">
        <v>2155</v>
      </c>
      <c r="AG96">
        <f>AF96/AB96</f>
        <v>0.50233100233100236</v>
      </c>
      <c r="AH96" s="1">
        <v>1.45519152283668E-11</v>
      </c>
      <c r="AI96" s="4">
        <v>92375.824725574596</v>
      </c>
      <c r="AJ96" s="4">
        <v>3453</v>
      </c>
      <c r="AK96" s="4">
        <f>AJ96/AB96</f>
        <v>0.80489510489510485</v>
      </c>
      <c r="AL96">
        <v>92242.095797770395</v>
      </c>
      <c r="AM96">
        <f>AL96/F96</f>
        <v>1.2879230837957778</v>
      </c>
      <c r="AN96">
        <v>0.87844839994795598</v>
      </c>
      <c r="AO96">
        <v>0</v>
      </c>
      <c r="AP96">
        <f>AO96/10</f>
        <v>0</v>
      </c>
      <c r="AQ96">
        <v>93583.6591257338</v>
      </c>
      <c r="AR96">
        <f>AQ96/F96</f>
        <v>1.3066545573547266</v>
      </c>
      <c r="AS96">
        <v>77.619320000056106</v>
      </c>
      <c r="AT96">
        <v>23</v>
      </c>
      <c r="AU96">
        <f>AT96/100</f>
        <v>0.23</v>
      </c>
      <c r="AV96">
        <v>93566.521689059198</v>
      </c>
      <c r="AW96">
        <f>AV96/F96</f>
        <v>1.3064152772288857</v>
      </c>
      <c r="AX96">
        <v>68.900134800001894</v>
      </c>
      <c r="AY96" t="str">
        <f>IF(AL96=MIN(AL96,AQ96,AV96),"Simulated Annealing",IF(AQ96=MIN(AL96,AQ96,AV96),"Ant Colony Optimization","Genetic Algorithm"))</f>
        <v>Simulated Annealing</v>
      </c>
      <c r="AZ96">
        <f>MIN(AL96,AQ96,AV96)</f>
        <v>92242.095797770395</v>
      </c>
      <c r="BA96">
        <f>AZ96/F96</f>
        <v>1.2879230837957778</v>
      </c>
      <c r="BB96">
        <v>89261.077908895997</v>
      </c>
      <c r="BC96">
        <f>BB96/F96</f>
        <v>1.2463008535213622</v>
      </c>
      <c r="BD96">
        <v>9.6000000000000002E-2</v>
      </c>
      <c r="BE96">
        <v>5</v>
      </c>
      <c r="BF96">
        <v>5.0439999999999996</v>
      </c>
    </row>
    <row r="97" spans="1:58" x14ac:dyDescent="0.3">
      <c r="A97">
        <v>48</v>
      </c>
      <c r="B97">
        <v>480</v>
      </c>
      <c r="C97">
        <v>5.83073946312316E-2</v>
      </c>
      <c r="D97">
        <v>0.121325206375603</v>
      </c>
      <c r="E97">
        <f>SQRT(D97)</f>
        <v>0.34831768025123705</v>
      </c>
      <c r="F97">
        <v>74111.406401670902</v>
      </c>
      <c r="G97">
        <v>11.5187012999667</v>
      </c>
      <c r="H97">
        <v>97152.123262336798</v>
      </c>
      <c r="I97">
        <f>H97/F97</f>
        <v>1.3108929917722683</v>
      </c>
      <c r="J97">
        <v>1.59881859994493</v>
      </c>
      <c r="K97">
        <v>1766697.9741054799</v>
      </c>
      <c r="L97" t="s">
        <v>44</v>
      </c>
      <c r="M97" t="s">
        <v>37</v>
      </c>
      <c r="N97">
        <v>264</v>
      </c>
      <c r="O97">
        <f>(N97+1)/B97</f>
        <v>0.55208333333333337</v>
      </c>
      <c r="P97">
        <v>104964.25098934901</v>
      </c>
      <c r="Q97">
        <f>P97/F97</f>
        <v>1.4163035905763421</v>
      </c>
      <c r="R97">
        <v>11.5187012999667</v>
      </c>
      <c r="S97">
        <v>440</v>
      </c>
      <c r="T97">
        <f>(S97+1)/B97</f>
        <v>0.91874999999999996</v>
      </c>
      <c r="U97">
        <v>98314.867500480206</v>
      </c>
      <c r="V97">
        <f>U97/F97</f>
        <v>1.3265821318736115</v>
      </c>
      <c r="W97">
        <v>3.4496912999893499</v>
      </c>
      <c r="X97" t="str">
        <f>IF(H97=MIN(H97,P97,U97),"Christofides",IF(P97=MIN(H97,P97,U97),"Arithmetic Series","Nearest Neighbor"))</f>
        <v>Christofides</v>
      </c>
      <c r="Y97">
        <f>MIN(H97,P97,U97)</f>
        <v>97152.123262336798</v>
      </c>
      <c r="Z97">
        <f>Y97/F97</f>
        <v>1.3108929917722683</v>
      </c>
      <c r="AA97">
        <v>4087</v>
      </c>
      <c r="AB97">
        <v>4291</v>
      </c>
      <c r="AC97">
        <f>AA97/AB97</f>
        <v>0.95245863435096711</v>
      </c>
      <c r="AD97">
        <v>0</v>
      </c>
      <c r="AE97">
        <v>97152.123262336798</v>
      </c>
      <c r="AF97">
        <v>636</v>
      </c>
      <c r="AG97">
        <f>AF97/AB97</f>
        <v>0.14821719878816128</v>
      </c>
      <c r="AH97" s="1">
        <v>2.91038304567337E-11</v>
      </c>
      <c r="AI97" s="4">
        <v>97152.123262336798</v>
      </c>
      <c r="AJ97" s="4">
        <v>704</v>
      </c>
      <c r="AK97" s="4">
        <f>AJ97/AB97</f>
        <v>0.16406432067117221</v>
      </c>
      <c r="AL97">
        <v>97073.133404659704</v>
      </c>
      <c r="AM97">
        <f>AL97/F97</f>
        <v>1.3098271658554184</v>
      </c>
      <c r="AN97">
        <v>0.88576600002124894</v>
      </c>
      <c r="AO97">
        <v>1</v>
      </c>
      <c r="AP97">
        <f>AO97/10</f>
        <v>0.1</v>
      </c>
      <c r="AQ97">
        <v>97152.123262336696</v>
      </c>
      <c r="AR97">
        <f>AQ97/F97</f>
        <v>1.3108929917722669</v>
      </c>
      <c r="AS97">
        <v>77.995608599972897</v>
      </c>
      <c r="AT97">
        <v>59</v>
      </c>
      <c r="AU97">
        <f>AT97/100</f>
        <v>0.59</v>
      </c>
      <c r="AV97">
        <v>96895.111699402798</v>
      </c>
      <c r="AW97">
        <f>AV97/F97</f>
        <v>1.3074250834513677</v>
      </c>
      <c r="AX97">
        <v>69.544137799995895</v>
      </c>
      <c r="AY97" t="str">
        <f>IF(AL97=MIN(AL97,AQ97,AV97),"Simulated Annealing",IF(AQ97=MIN(AL97,AQ97,AV97),"Ant Colony Optimization","Genetic Algorithm"))</f>
        <v>Genetic Algorithm</v>
      </c>
      <c r="AZ97">
        <f>MIN(AL97,AQ97,AV97)</f>
        <v>96895.111699402798</v>
      </c>
      <c r="BA97">
        <f>AZ97/F97</f>
        <v>1.3074250834513677</v>
      </c>
      <c r="BB97">
        <v>92790.8607156613</v>
      </c>
      <c r="BC97">
        <f>BB97/F97</f>
        <v>1.2520456056757445</v>
      </c>
      <c r="BD97">
        <v>9.6000000000000002E-2</v>
      </c>
      <c r="BE97">
        <v>5</v>
      </c>
      <c r="BF97">
        <v>5.0529999999999999</v>
      </c>
    </row>
    <row r="98" spans="1:58" x14ac:dyDescent="0.3">
      <c r="A98">
        <v>109</v>
      </c>
      <c r="B98">
        <v>485</v>
      </c>
      <c r="C98">
        <v>5.7824324864191999E-2</v>
      </c>
      <c r="D98">
        <v>0.125990653469983</v>
      </c>
      <c r="E98">
        <f>SQRT(D98)</f>
        <v>0.35495162130913421</v>
      </c>
      <c r="F98">
        <v>72976.397659046095</v>
      </c>
      <c r="G98">
        <v>11.75293279998</v>
      </c>
      <c r="H98">
        <v>98667.312691986197</v>
      </c>
      <c r="I98">
        <f>H98/F98</f>
        <v>1.3520441657448061</v>
      </c>
      <c r="J98">
        <v>1.51874720002524</v>
      </c>
      <c r="K98">
        <v>1807249.3625042399</v>
      </c>
      <c r="L98" t="s">
        <v>44</v>
      </c>
      <c r="M98">
        <v>1</v>
      </c>
      <c r="N98">
        <v>326</v>
      </c>
      <c r="O98">
        <f>(N98+1)/B98</f>
        <v>0.67422680412371139</v>
      </c>
      <c r="P98">
        <v>102340.666163681</v>
      </c>
      <c r="Q98">
        <f>P98/F98</f>
        <v>1.4023803509982509</v>
      </c>
      <c r="R98">
        <v>11.75293279998</v>
      </c>
      <c r="S98">
        <v>212</v>
      </c>
      <c r="T98">
        <f>(S98+1)/B98</f>
        <v>0.43917525773195876</v>
      </c>
      <c r="U98">
        <v>99701.3425216084</v>
      </c>
      <c r="V98">
        <f>U98/F98</f>
        <v>1.3662135391695305</v>
      </c>
      <c r="W98">
        <v>3.41567600006237</v>
      </c>
      <c r="X98" t="str">
        <f>IF(H98=MIN(H98,P98,U98),"Christofides",IF(P98=MIN(H98,P98,U98),"Arithmetic Series","Nearest Neighbor"))</f>
        <v>Christofides</v>
      </c>
      <c r="Y98">
        <f>MIN(H98,P98,U98)</f>
        <v>98667.312691986197</v>
      </c>
      <c r="Z98">
        <f>Y98/F98</f>
        <v>1.3520441657448061</v>
      </c>
      <c r="AA98">
        <v>4173</v>
      </c>
      <c r="AB98">
        <v>4292</v>
      </c>
      <c r="AC98">
        <f>AA98/AB98</f>
        <v>0.97227399813606707</v>
      </c>
      <c r="AD98">
        <v>0</v>
      </c>
      <c r="AE98">
        <v>98667.312691986299</v>
      </c>
      <c r="AF98">
        <v>332</v>
      </c>
      <c r="AG98">
        <f>AF98/AB98</f>
        <v>7.7353215284249766E-2</v>
      </c>
      <c r="AH98" s="1">
        <v>1.7462298274040199E-10</v>
      </c>
      <c r="AI98" s="4">
        <v>98660.258835598201</v>
      </c>
      <c r="AJ98" s="4">
        <v>405</v>
      </c>
      <c r="AK98" s="4">
        <f>AJ98/AB98</f>
        <v>9.4361602982292639E-2</v>
      </c>
      <c r="AL98">
        <v>98222.094883829704</v>
      </c>
      <c r="AM98">
        <f>AL98/F98</f>
        <v>1.3459433191363368</v>
      </c>
      <c r="AN98">
        <v>0.93209969997405995</v>
      </c>
      <c r="AO98">
        <v>4</v>
      </c>
      <c r="AP98">
        <f>AO98/10</f>
        <v>0.4</v>
      </c>
      <c r="AQ98">
        <v>98637.823173254495</v>
      </c>
      <c r="AR98">
        <f>AQ98/F98</f>
        <v>1.3516400690823553</v>
      </c>
      <c r="AS98">
        <v>82.158568299957494</v>
      </c>
      <c r="AT98">
        <v>97</v>
      </c>
      <c r="AU98">
        <f>AT98/100</f>
        <v>0.97</v>
      </c>
      <c r="AV98">
        <v>98639.045287162706</v>
      </c>
      <c r="AW98">
        <f>AV98/F98</f>
        <v>1.3516568157833082</v>
      </c>
      <c r="AX98">
        <v>73.054220700054401</v>
      </c>
      <c r="AY98" t="str">
        <f>IF(AL98=MIN(AL98,AQ98,AV98),"Simulated Annealing",IF(AQ98=MIN(AL98,AQ98,AV98),"Ant Colony Optimization","Genetic Algorithm"))</f>
        <v>Simulated Annealing</v>
      </c>
      <c r="AZ98">
        <f>MIN(AL98,AQ98,AV98)</f>
        <v>98222.094883829704</v>
      </c>
      <c r="BA98">
        <f>AZ98/F98</f>
        <v>1.3459433191363368</v>
      </c>
      <c r="BB98">
        <v>91698.328779027797</v>
      </c>
      <c r="BC98">
        <f>BB98/F98</f>
        <v>1.2565477568165622</v>
      </c>
      <c r="BD98">
        <v>0.112</v>
      </c>
      <c r="BE98">
        <v>5</v>
      </c>
      <c r="BF98">
        <v>5</v>
      </c>
    </row>
    <row r="99" spans="1:58" x14ac:dyDescent="0.3">
      <c r="A99">
        <v>49</v>
      </c>
      <c r="B99">
        <v>490</v>
      </c>
      <c r="C99">
        <v>5.7548593323836897E-2</v>
      </c>
      <c r="D99">
        <v>0.13095387606853601</v>
      </c>
      <c r="E99">
        <f>SQRT(D99)</f>
        <v>0.36187549802181412</v>
      </c>
      <c r="F99">
        <v>74647.456121854295</v>
      </c>
      <c r="G99">
        <v>12.823286800005</v>
      </c>
      <c r="H99">
        <v>100151.27866122899</v>
      </c>
      <c r="I99">
        <f>H99/F99</f>
        <v>1.341656954762696</v>
      </c>
      <c r="J99">
        <v>1.6026261000079101</v>
      </c>
      <c r="K99">
        <v>1848290.6468306701</v>
      </c>
      <c r="L99" t="s">
        <v>44</v>
      </c>
      <c r="M99">
        <v>1</v>
      </c>
      <c r="N99">
        <v>272</v>
      </c>
      <c r="O99">
        <f>(N99+1)/B99</f>
        <v>0.55714285714285716</v>
      </c>
      <c r="P99">
        <v>107344.052630569</v>
      </c>
      <c r="Q99">
        <f>P99/F99</f>
        <v>1.438013540010538</v>
      </c>
      <c r="R99">
        <v>12.823286800005</v>
      </c>
      <c r="S99">
        <v>398</v>
      </c>
      <c r="T99">
        <f>(S99+1)/B99</f>
        <v>0.81428571428571428</v>
      </c>
      <c r="U99">
        <v>97974.644510575803</v>
      </c>
      <c r="V99">
        <f>U99/F99</f>
        <v>1.3124981024221678</v>
      </c>
      <c r="W99">
        <v>3.6954045000020401</v>
      </c>
      <c r="X99" t="str">
        <f>IF(H99=MIN(H99,P99,U99),"Christofides",IF(P99=MIN(H99,P99,U99),"Arithmetic Series","Nearest Neighbor"))</f>
        <v>Nearest Neighbor</v>
      </c>
      <c r="Y99">
        <f>MIN(H99,P99,U99)</f>
        <v>97974.644510575803</v>
      </c>
      <c r="Z99">
        <f>Y99/F99</f>
        <v>1.3124981024221678</v>
      </c>
      <c r="AA99">
        <v>4285</v>
      </c>
      <c r="AB99">
        <v>4293</v>
      </c>
      <c r="AC99">
        <f>AA99/AB99</f>
        <v>0.99813650128115539</v>
      </c>
      <c r="AD99">
        <v>0</v>
      </c>
      <c r="AE99">
        <v>97926.842302570803</v>
      </c>
      <c r="AF99">
        <v>308</v>
      </c>
      <c r="AG99">
        <f>AF99/AB99</f>
        <v>7.1744700675518289E-2</v>
      </c>
      <c r="AH99" s="1">
        <v>8.7311491370201098E-11</v>
      </c>
      <c r="AI99" s="4">
        <v>97040.885434297394</v>
      </c>
      <c r="AJ99" s="4">
        <v>3395</v>
      </c>
      <c r="AK99" s="4">
        <f>AJ99/AB99</f>
        <v>0.7908222688096902</v>
      </c>
      <c r="AL99">
        <v>96731.036102633007</v>
      </c>
      <c r="AM99">
        <f>AL99/F99</f>
        <v>1.29583834638289</v>
      </c>
      <c r="AN99">
        <v>0.94418910000240397</v>
      </c>
      <c r="AO99">
        <v>0</v>
      </c>
      <c r="AP99">
        <f>AO99/10</f>
        <v>0</v>
      </c>
      <c r="AQ99">
        <v>97974.644510575803</v>
      </c>
      <c r="AR99">
        <f>AQ99/F99</f>
        <v>1.3124981024221678</v>
      </c>
      <c r="AS99">
        <v>81.027977699995901</v>
      </c>
      <c r="AT99">
        <v>98</v>
      </c>
      <c r="AU99">
        <f>AT99/100</f>
        <v>0.98</v>
      </c>
      <c r="AV99">
        <v>97860.183496895203</v>
      </c>
      <c r="AW99">
        <f>AV99/F99</f>
        <v>1.3109647479098085</v>
      </c>
      <c r="AX99">
        <v>74.132688799989396</v>
      </c>
      <c r="AY99" t="str">
        <f>IF(AL99=MIN(AL99,AQ99,AV99),"Simulated Annealing",IF(AQ99=MIN(AL99,AQ99,AV99),"Ant Colony Optimization","Genetic Algorithm"))</f>
        <v>Simulated Annealing</v>
      </c>
      <c r="AZ99">
        <f>MIN(AL99,AQ99,AV99)</f>
        <v>96731.036102633007</v>
      </c>
      <c r="BA99">
        <f>AZ99/F99</f>
        <v>1.29583834638289</v>
      </c>
      <c r="BB99">
        <v>95320.831514454199</v>
      </c>
      <c r="BC99">
        <f>BB99/F99</f>
        <v>1.2769468173014864</v>
      </c>
      <c r="BD99">
        <v>0.112</v>
      </c>
      <c r="BE99">
        <v>5</v>
      </c>
      <c r="BF99">
        <v>5.016</v>
      </c>
    </row>
    <row r="100" spans="1:58" x14ac:dyDescent="0.3">
      <c r="A100">
        <v>110</v>
      </c>
      <c r="B100">
        <v>495</v>
      </c>
      <c r="C100">
        <v>5.4375854391238203E-2</v>
      </c>
      <c r="D100">
        <v>6.7282821015037603E-2</v>
      </c>
      <c r="E100">
        <f>SQRT(D100)</f>
        <v>0.25938932324796565</v>
      </c>
      <c r="F100">
        <v>74443.004440660894</v>
      </c>
      <c r="G100">
        <v>12.4522368999896</v>
      </c>
      <c r="H100">
        <v>98605.269727149906</v>
      </c>
      <c r="I100">
        <f>H100/F100</f>
        <v>1.3245740209981576</v>
      </c>
      <c r="J100">
        <v>1.62129539996385</v>
      </c>
      <c r="K100">
        <v>1889829.96970354</v>
      </c>
      <c r="L100" t="s">
        <v>44</v>
      </c>
      <c r="M100">
        <v>0</v>
      </c>
      <c r="N100">
        <v>236</v>
      </c>
      <c r="O100">
        <f>(N100+1)/B100</f>
        <v>0.47878787878787876</v>
      </c>
      <c r="P100">
        <v>99078.347942411303</v>
      </c>
      <c r="Q100">
        <f>P100/F100</f>
        <v>1.3309289259192574</v>
      </c>
      <c r="R100">
        <v>12.4522368999896</v>
      </c>
      <c r="S100">
        <v>391</v>
      </c>
      <c r="T100">
        <f>(S100+1)/B100</f>
        <v>0.79191919191919191</v>
      </c>
      <c r="U100">
        <v>96701.606763534699</v>
      </c>
      <c r="V100">
        <f>U100/F100</f>
        <v>1.2990019343001706</v>
      </c>
      <c r="W100">
        <v>3.8963964999420502</v>
      </c>
      <c r="X100" t="str">
        <f>IF(H100=MIN(H100,P100,U100),"Christofides",IF(P100=MIN(H100,P100,U100),"Arithmetic Series","Nearest Neighbor"))</f>
        <v>Nearest Neighbor</v>
      </c>
      <c r="Y100">
        <f>MIN(H100,P100,U100)</f>
        <v>96701.606763534699</v>
      </c>
      <c r="Z100">
        <f>Y100/F100</f>
        <v>1.2990019343001706</v>
      </c>
      <c r="AA100">
        <v>3945</v>
      </c>
      <c r="AB100">
        <v>4294</v>
      </c>
      <c r="AC100">
        <f>AA100/AB100</f>
        <v>0.91872380065207271</v>
      </c>
      <c r="AD100">
        <v>0</v>
      </c>
      <c r="AE100">
        <v>96701.606763534699</v>
      </c>
      <c r="AF100">
        <v>32</v>
      </c>
      <c r="AG100">
        <f>AF100/AB100</f>
        <v>7.4522589659990687E-3</v>
      </c>
      <c r="AH100" s="1">
        <v>5.8207660913467401E-11</v>
      </c>
      <c r="AI100" s="4">
        <v>96701.606763534699</v>
      </c>
      <c r="AJ100" s="4">
        <v>1018</v>
      </c>
      <c r="AK100" s="4">
        <f>AJ100/AB100</f>
        <v>0.23707498835584537</v>
      </c>
      <c r="AL100">
        <v>95487.8187786997</v>
      </c>
      <c r="AM100">
        <f>AL100/F100</f>
        <v>1.2826970041867909</v>
      </c>
      <c r="AN100">
        <v>0.956906999927014</v>
      </c>
      <c r="AO100">
        <v>10</v>
      </c>
      <c r="AP100">
        <f>AO100/10</f>
        <v>1</v>
      </c>
      <c r="AQ100">
        <v>96182.819725934198</v>
      </c>
      <c r="AR100">
        <f>AQ100/F100</f>
        <v>1.2920330183960036</v>
      </c>
      <c r="AS100">
        <v>87.683663000003406</v>
      </c>
      <c r="AT100">
        <v>36</v>
      </c>
      <c r="AU100">
        <f>AT100/100</f>
        <v>0.36</v>
      </c>
      <c r="AV100">
        <v>96616.4187755108</v>
      </c>
      <c r="AW100">
        <f>AV100/F100</f>
        <v>1.2978575959078131</v>
      </c>
      <c r="AX100">
        <v>77.208735799998905</v>
      </c>
      <c r="AY100" t="str">
        <f>IF(AL100=MIN(AL100,AQ100,AV100),"Simulated Annealing",IF(AQ100=MIN(AL100,AQ100,AV100),"Ant Colony Optimization","Genetic Algorithm"))</f>
        <v>Simulated Annealing</v>
      </c>
      <c r="AZ100">
        <f>MIN(AL100,AQ100,AV100)</f>
        <v>95487.8187786997</v>
      </c>
      <c r="BA100">
        <f>AZ100/F100</f>
        <v>1.2826970041867909</v>
      </c>
      <c r="BB100">
        <v>94813.710222142894</v>
      </c>
      <c r="BC100">
        <f>BB100/F100</f>
        <v>1.2736416394601544</v>
      </c>
      <c r="BD100">
        <v>0.112</v>
      </c>
      <c r="BE100">
        <v>5</v>
      </c>
      <c r="BF100">
        <v>5.0010000000000003</v>
      </c>
    </row>
    <row r="101" spans="1:58" x14ac:dyDescent="0.3">
      <c r="A101">
        <v>50</v>
      </c>
      <c r="B101">
        <v>500</v>
      </c>
      <c r="C101">
        <v>5.5262960962019297E-2</v>
      </c>
      <c r="D101">
        <v>0.26110543245020901</v>
      </c>
      <c r="E101">
        <f>SQRT(D101)</f>
        <v>0.51098476733676612</v>
      </c>
      <c r="F101">
        <v>76239.5459509395</v>
      </c>
      <c r="G101">
        <v>12.6836571999592</v>
      </c>
      <c r="H101">
        <v>99771.931094965606</v>
      </c>
      <c r="I101">
        <f>H101/F101</f>
        <v>1.3086637630183331</v>
      </c>
      <c r="J101">
        <v>1.71107319998554</v>
      </c>
      <c r="K101">
        <v>1931860.32052673</v>
      </c>
      <c r="L101" t="s">
        <v>44</v>
      </c>
      <c r="M101" t="s">
        <v>37</v>
      </c>
      <c r="N101">
        <v>277</v>
      </c>
      <c r="O101">
        <f>(N101+1)/B101</f>
        <v>0.55600000000000005</v>
      </c>
      <c r="P101">
        <v>108546.021864483</v>
      </c>
      <c r="Q101">
        <f>P101/F101</f>
        <v>1.4237495844260781</v>
      </c>
      <c r="R101">
        <v>12.6836571999592</v>
      </c>
      <c r="S101">
        <v>27</v>
      </c>
      <c r="T101">
        <f>(S101+1)/B101</f>
        <v>5.6000000000000001E-2</v>
      </c>
      <c r="U101">
        <v>102804.742467348</v>
      </c>
      <c r="V101">
        <f>U101/F101</f>
        <v>1.3484437923266663</v>
      </c>
      <c r="W101">
        <v>3.7483834000304301</v>
      </c>
      <c r="X101" t="str">
        <f>IF(H101=MIN(H101,P101,U101),"Christofides",IF(P101=MIN(H101,P101,U101),"Arithmetic Series","Nearest Neighbor"))</f>
        <v>Christofides</v>
      </c>
      <c r="Y101">
        <f>MIN(H101,P101,U101)</f>
        <v>99771.931094965606</v>
      </c>
      <c r="Z101">
        <f>Y101/F101</f>
        <v>1.3086637630183331</v>
      </c>
      <c r="AA101">
        <v>4033</v>
      </c>
      <c r="AB101">
        <v>4295</v>
      </c>
      <c r="AC101">
        <f>AA101/AB101</f>
        <v>0.93899883585564614</v>
      </c>
      <c r="AD101">
        <v>0</v>
      </c>
      <c r="AE101">
        <v>99773.671077872903</v>
      </c>
      <c r="AF101">
        <v>189</v>
      </c>
      <c r="AG101">
        <f>AF101/AB101</f>
        <v>4.4004656577415598E-2</v>
      </c>
      <c r="AH101">
        <v>1.7399829072674</v>
      </c>
      <c r="AI101" s="4">
        <v>99773.671077872903</v>
      </c>
      <c r="AJ101" s="4">
        <v>189</v>
      </c>
      <c r="AK101" s="4">
        <f>AJ101/AB101</f>
        <v>4.4004656577415598E-2</v>
      </c>
      <c r="AL101">
        <v>99269.250482427597</v>
      </c>
      <c r="AM101">
        <f>AL101/F101</f>
        <v>1.3020703264196749</v>
      </c>
      <c r="AN101">
        <v>0.91590590000851002</v>
      </c>
      <c r="AO101">
        <v>1</v>
      </c>
      <c r="AP101">
        <f>AO101/10</f>
        <v>0.1</v>
      </c>
      <c r="AQ101">
        <v>99771.931094965606</v>
      </c>
      <c r="AR101">
        <f>AQ101/F101</f>
        <v>1.3086637630183331</v>
      </c>
      <c r="AS101">
        <v>85.569607300043501</v>
      </c>
      <c r="AT101">
        <v>91</v>
      </c>
      <c r="AU101">
        <f>AT101/100</f>
        <v>0.91</v>
      </c>
      <c r="AV101">
        <v>99680.8096326659</v>
      </c>
      <c r="AW101">
        <f>AV101/F101</f>
        <v>1.3074685635826184</v>
      </c>
      <c r="AX101">
        <v>79.276027000043499</v>
      </c>
      <c r="AY101" t="str">
        <f>IF(AL101=MIN(AL101,AQ101,AV101),"Simulated Annealing",IF(AQ101=MIN(AL101,AQ101,AV101),"Ant Colony Optimization","Genetic Algorithm"))</f>
        <v>Simulated Annealing</v>
      </c>
      <c r="AZ101">
        <f>MIN(AL101,AQ101,AV101)</f>
        <v>99269.250482427597</v>
      </c>
      <c r="BA101">
        <f>AZ101/F101</f>
        <v>1.3020703264196749</v>
      </c>
      <c r="BB101">
        <v>97974.3048773505</v>
      </c>
      <c r="BC101">
        <f>BB101/F101</f>
        <v>1.2850851045256411</v>
      </c>
      <c r="BD101">
        <v>9.6000000000000002E-2</v>
      </c>
      <c r="BE101">
        <v>5</v>
      </c>
      <c r="BF101">
        <v>5.0270000000000001</v>
      </c>
    </row>
    <row r="102" spans="1:58" x14ac:dyDescent="0.3">
      <c r="A102">
        <v>111</v>
      </c>
      <c r="B102">
        <v>505</v>
      </c>
      <c r="C102">
        <v>5.3593257166867699E-2</v>
      </c>
      <c r="D102">
        <v>0.26136857354773302</v>
      </c>
      <c r="E102">
        <f>SQRT(D102)</f>
        <v>0.51124218678404565</v>
      </c>
      <c r="F102">
        <v>77581.210312505704</v>
      </c>
      <c r="G102">
        <v>12.845639199949799</v>
      </c>
      <c r="H102">
        <v>101175.889923539</v>
      </c>
      <c r="I102">
        <f>H102/F102</f>
        <v>1.3041287898963074</v>
      </c>
      <c r="J102">
        <v>1.7333041999954699</v>
      </c>
      <c r="K102">
        <v>1974384.67872916</v>
      </c>
      <c r="L102" t="s">
        <v>44</v>
      </c>
      <c r="M102" t="s">
        <v>37</v>
      </c>
      <c r="N102">
        <v>398</v>
      </c>
      <c r="O102">
        <f>(N102+1)/B102</f>
        <v>0.79009900990099013</v>
      </c>
      <c r="P102">
        <v>109521.577922214</v>
      </c>
      <c r="Q102">
        <f>P102/F102</f>
        <v>1.411702362995485</v>
      </c>
      <c r="R102">
        <v>12.845639199949799</v>
      </c>
      <c r="S102">
        <v>190</v>
      </c>
      <c r="T102">
        <f>(S102+1)/B102</f>
        <v>0.37821782178217822</v>
      </c>
      <c r="U102">
        <v>99904.087919275698</v>
      </c>
      <c r="V102">
        <f>U102/F102</f>
        <v>1.2877356194476854</v>
      </c>
      <c r="W102">
        <v>3.8533701000269498</v>
      </c>
      <c r="X102" t="str">
        <f>IF(H102=MIN(H102,P102,U102),"Christofides",IF(P102=MIN(H102,P102,U102),"Arithmetic Series","Nearest Neighbor"))</f>
        <v>Nearest Neighbor</v>
      </c>
      <c r="Y102">
        <f>MIN(H102,P102,U102)</f>
        <v>99904.087919275698</v>
      </c>
      <c r="Z102">
        <f>Y102/F102</f>
        <v>1.2877356194476854</v>
      </c>
      <c r="AA102">
        <v>4120</v>
      </c>
      <c r="AB102">
        <v>4296</v>
      </c>
      <c r="AC102">
        <f>AA102/AB102</f>
        <v>0.95903165735567975</v>
      </c>
      <c r="AD102">
        <v>0</v>
      </c>
      <c r="AE102">
        <v>99873.823968504599</v>
      </c>
      <c r="AF102">
        <v>474</v>
      </c>
      <c r="AG102">
        <f>AF102/AB102</f>
        <v>0.11033519553072625</v>
      </c>
      <c r="AH102" s="1">
        <v>4.3655745685100497E-11</v>
      </c>
      <c r="AI102" s="4">
        <v>99873.823968504599</v>
      </c>
      <c r="AJ102" s="4">
        <v>474</v>
      </c>
      <c r="AK102" s="4">
        <f>AJ102/AB102</f>
        <v>0.11033519553072625</v>
      </c>
      <c r="AL102">
        <v>99688.712304932604</v>
      </c>
      <c r="AM102">
        <f>AL102/F102</f>
        <v>1.2849594883010389</v>
      </c>
      <c r="AN102">
        <v>0.95136399997863896</v>
      </c>
      <c r="AO102">
        <v>1</v>
      </c>
      <c r="AP102">
        <f>AO102/10</f>
        <v>0.1</v>
      </c>
      <c r="AQ102">
        <v>99904.087919275698</v>
      </c>
      <c r="AR102">
        <f>AQ102/F102</f>
        <v>1.2877356194476854</v>
      </c>
      <c r="AS102">
        <v>92.331723700044606</v>
      </c>
      <c r="AT102">
        <v>13</v>
      </c>
      <c r="AU102">
        <f>AT102/100</f>
        <v>0.13</v>
      </c>
      <c r="AV102">
        <v>99903.635515926406</v>
      </c>
      <c r="AW102">
        <f>AV102/F102</f>
        <v>1.287729788095642</v>
      </c>
      <c r="AX102">
        <v>82.490925500052896</v>
      </c>
      <c r="AY102" t="str">
        <f>IF(AL102=MIN(AL102,AQ102,AV102),"Simulated Annealing",IF(AQ102=MIN(AL102,AQ102,AV102),"Ant Colony Optimization","Genetic Algorithm"))</f>
        <v>Simulated Annealing</v>
      </c>
      <c r="AZ102">
        <f>MIN(AL102,AQ102,AV102)</f>
        <v>99688.712304932604</v>
      </c>
      <c r="BA102">
        <f>AZ102/F102</f>
        <v>1.2849594883010389</v>
      </c>
      <c r="BB102">
        <v>98862.979851179407</v>
      </c>
      <c r="BC102">
        <f>BB102/F102</f>
        <v>1.274316029009452</v>
      </c>
      <c r="BD102">
        <v>0.112</v>
      </c>
      <c r="BE102">
        <v>5</v>
      </c>
      <c r="BF102">
        <v>5</v>
      </c>
    </row>
    <row r="103" spans="1:58" x14ac:dyDescent="0.3">
      <c r="A103">
        <v>51</v>
      </c>
      <c r="B103">
        <v>510</v>
      </c>
      <c r="C103">
        <v>5.1084316442469302E-2</v>
      </c>
      <c r="D103">
        <v>9.7427336285146895E-2</v>
      </c>
      <c r="E103">
        <f>SQRT(D103)</f>
        <v>0.31213352316780535</v>
      </c>
      <c r="F103">
        <v>74335.289320444703</v>
      </c>
      <c r="G103">
        <v>13.6011328999884</v>
      </c>
      <c r="H103">
        <v>97598.280483108407</v>
      </c>
      <c r="I103">
        <f>H103/F103</f>
        <v>1.3129468032656948</v>
      </c>
      <c r="J103">
        <v>1.7640006000292401</v>
      </c>
      <c r="K103">
        <v>2017404.51191868</v>
      </c>
      <c r="L103" t="s">
        <v>44</v>
      </c>
      <c r="M103">
        <v>0</v>
      </c>
      <c r="N103">
        <v>430</v>
      </c>
      <c r="O103">
        <f>(N103+1)/B103</f>
        <v>0.84509803921568627</v>
      </c>
      <c r="P103">
        <v>105024.709595366</v>
      </c>
      <c r="Q103">
        <f>P103/F103</f>
        <v>1.4128512925082632</v>
      </c>
      <c r="R103">
        <v>13.6011328999884</v>
      </c>
      <c r="S103">
        <v>40</v>
      </c>
      <c r="T103">
        <f>(S103+1)/B103</f>
        <v>8.0392156862745104E-2</v>
      </c>
      <c r="U103">
        <v>101315.980384537</v>
      </c>
      <c r="V103">
        <f>U103/F103</f>
        <v>1.3629593872673837</v>
      </c>
      <c r="W103">
        <v>4.0571847999817603</v>
      </c>
      <c r="X103" t="str">
        <f>IF(H103=MIN(H103,P103,U103),"Christofides",IF(P103=MIN(H103,P103,U103),"Arithmetic Series","Nearest Neighbor"))</f>
        <v>Christofides</v>
      </c>
      <c r="Y103">
        <f>MIN(H103,P103,U103)</f>
        <v>97598.280483108407</v>
      </c>
      <c r="Z103">
        <f>Y103/F103</f>
        <v>1.3129468032656948</v>
      </c>
      <c r="AA103">
        <v>3855</v>
      </c>
      <c r="AB103">
        <v>4297</v>
      </c>
      <c r="AC103">
        <f>AA103/AB103</f>
        <v>0.89713753781708172</v>
      </c>
      <c r="AD103">
        <v>0</v>
      </c>
      <c r="AE103">
        <v>97607.259888893503</v>
      </c>
      <c r="AF103">
        <v>58</v>
      </c>
      <c r="AG103">
        <f>AF103/AB103</f>
        <v>1.3497789155224576E-2</v>
      </c>
      <c r="AH103">
        <v>8.9794057851104299</v>
      </c>
      <c r="AI103" s="4">
        <v>97607.259888893503</v>
      </c>
      <c r="AJ103" s="4">
        <v>423</v>
      </c>
      <c r="AK103" s="4">
        <f>AJ103/AB103</f>
        <v>9.8440772632068879E-2</v>
      </c>
      <c r="AL103">
        <v>97479.886229400799</v>
      </c>
      <c r="AM103">
        <f>AL103/F103</f>
        <v>1.3113540973679987</v>
      </c>
      <c r="AN103">
        <v>0.95434649998787702</v>
      </c>
      <c r="AO103">
        <v>1</v>
      </c>
      <c r="AP103">
        <f>AO103/10</f>
        <v>0.1</v>
      </c>
      <c r="AQ103">
        <v>97598.280483108407</v>
      </c>
      <c r="AR103">
        <f>AQ103/F103</f>
        <v>1.3129468032656948</v>
      </c>
      <c r="AS103">
        <v>89.2543360000127</v>
      </c>
      <c r="AT103">
        <v>45</v>
      </c>
      <c r="AU103">
        <f>AT103/100</f>
        <v>0.45</v>
      </c>
      <c r="AV103">
        <v>97450.699894252393</v>
      </c>
      <c r="AW103">
        <f>AV103/F103</f>
        <v>1.3109614664195592</v>
      </c>
      <c r="AX103">
        <v>82.385307599965003</v>
      </c>
      <c r="AY103" t="str">
        <f>IF(AL103=MIN(AL103,AQ103,AV103),"Simulated Annealing",IF(AQ103=MIN(AL103,AQ103,AV103),"Ant Colony Optimization","Genetic Algorithm"))</f>
        <v>Genetic Algorithm</v>
      </c>
      <c r="AZ103">
        <f>MIN(AL103,AQ103,AV103)</f>
        <v>97450.699894252393</v>
      </c>
      <c r="BA103">
        <f>AZ103/F103</f>
        <v>1.3109614664195592</v>
      </c>
      <c r="BB103">
        <v>95151.118965946007</v>
      </c>
      <c r="BC103">
        <f>BB103/F103</f>
        <v>1.2800262141412861</v>
      </c>
      <c r="BD103">
        <v>0.112</v>
      </c>
      <c r="BE103">
        <v>5</v>
      </c>
      <c r="BF103">
        <v>5.0190000000000001</v>
      </c>
    </row>
    <row r="104" spans="1:58" x14ac:dyDescent="0.3">
      <c r="A104">
        <v>112</v>
      </c>
      <c r="B104">
        <v>515</v>
      </c>
      <c r="C104">
        <v>5.18717597394227E-2</v>
      </c>
      <c r="D104">
        <v>0.30751068816656901</v>
      </c>
      <c r="E104">
        <f>SQRT(D104)</f>
        <v>0.55453646243197485</v>
      </c>
      <c r="F104">
        <v>75167.166235412704</v>
      </c>
      <c r="G104">
        <v>14.078542499919401</v>
      </c>
      <c r="H104">
        <v>101133.223893573</v>
      </c>
      <c r="I104">
        <f>H104/F104</f>
        <v>1.3454441474730916</v>
      </c>
      <c r="J104">
        <v>1.8270613000495299</v>
      </c>
      <c r="K104">
        <v>2060929.4178377299</v>
      </c>
      <c r="L104" t="s">
        <v>44</v>
      </c>
      <c r="M104" t="s">
        <v>37</v>
      </c>
      <c r="N104">
        <v>286</v>
      </c>
      <c r="O104">
        <f>(N104+1)/B104</f>
        <v>0.55728155339805829</v>
      </c>
      <c r="P104">
        <v>103446.64595840999</v>
      </c>
      <c r="Q104">
        <f>P104/F104</f>
        <v>1.3762211766029604</v>
      </c>
      <c r="R104">
        <v>14.078542499919401</v>
      </c>
      <c r="S104">
        <v>291</v>
      </c>
      <c r="T104">
        <f>(S104+1)/B104</f>
        <v>0.56699029126213596</v>
      </c>
      <c r="U104">
        <v>98176.668931092107</v>
      </c>
      <c r="V104">
        <f>U104/F104</f>
        <v>1.3061110834432279</v>
      </c>
      <c r="W104">
        <v>4.1495602000504697</v>
      </c>
      <c r="X104" t="str">
        <f>IF(H104=MIN(H104,P104,U104),"Christofides",IF(P104=MIN(H104,P104,U104),"Arithmetic Series","Nearest Neighbor"))</f>
        <v>Nearest Neighbor</v>
      </c>
      <c r="Y104">
        <f>MIN(H104,P104,U104)</f>
        <v>98176.668931092107</v>
      </c>
      <c r="Z104">
        <f>Y104/F104</f>
        <v>1.3061110834432279</v>
      </c>
      <c r="AA104">
        <v>4026</v>
      </c>
      <c r="AB104">
        <v>4298</v>
      </c>
      <c r="AC104">
        <f>AA104/AB104</f>
        <v>0.93671475104699864</v>
      </c>
      <c r="AD104">
        <v>0</v>
      </c>
      <c r="AE104">
        <v>98177.9593812854</v>
      </c>
      <c r="AF104">
        <v>354</v>
      </c>
      <c r="AG104">
        <f>AF104/AB104</f>
        <v>8.2363890181479757E-2</v>
      </c>
      <c r="AH104">
        <v>1.2904501933080601</v>
      </c>
      <c r="AI104" s="4">
        <v>98177.9593812854</v>
      </c>
      <c r="AJ104" s="4">
        <v>354</v>
      </c>
      <c r="AK104" s="4">
        <f>AJ104/AB104</f>
        <v>8.2363890181479757E-2</v>
      </c>
      <c r="AL104">
        <v>97413.946163742105</v>
      </c>
      <c r="AM104">
        <f>AL104/F104</f>
        <v>1.2959640630678519</v>
      </c>
      <c r="AN104">
        <v>0.98958719999063705</v>
      </c>
      <c r="AO104">
        <v>0</v>
      </c>
      <c r="AP104">
        <f>AO104/10</f>
        <v>0</v>
      </c>
      <c r="AQ104">
        <v>98176.668931092107</v>
      </c>
      <c r="AR104">
        <f>AQ104/F104</f>
        <v>1.3061110834432279</v>
      </c>
      <c r="AS104">
        <v>95.517369900015098</v>
      </c>
      <c r="AT104">
        <v>15</v>
      </c>
      <c r="AU104">
        <f>AT104/100</f>
        <v>0.15</v>
      </c>
      <c r="AV104">
        <v>97991.402287039906</v>
      </c>
      <c r="AW104">
        <f>AV104/F104</f>
        <v>1.3036463551139468</v>
      </c>
      <c r="AX104">
        <v>87.399848900036801</v>
      </c>
      <c r="AY104" t="str">
        <f>IF(AL104=MIN(AL104,AQ104,AV104),"Simulated Annealing",IF(AQ104=MIN(AL104,AQ104,AV104),"Ant Colony Optimization","Genetic Algorithm"))</f>
        <v>Simulated Annealing</v>
      </c>
      <c r="AZ104">
        <f>MIN(AL104,AQ104,AV104)</f>
        <v>97413.946163742105</v>
      </c>
      <c r="BA104">
        <f>AZ104/F104</f>
        <v>1.2959640630678519</v>
      </c>
      <c r="BB104">
        <v>97328.965766883804</v>
      </c>
      <c r="BC104">
        <f>BB104/F104</f>
        <v>1.2948335109782314</v>
      </c>
      <c r="BD104">
        <v>0.128</v>
      </c>
      <c r="BE104">
        <v>5</v>
      </c>
      <c r="BF104">
        <v>5.03</v>
      </c>
    </row>
    <row r="105" spans="1:58" x14ac:dyDescent="0.3">
      <c r="A105">
        <v>52</v>
      </c>
      <c r="B105">
        <v>520</v>
      </c>
      <c r="C105">
        <v>5.0848325318267697E-2</v>
      </c>
      <c r="D105">
        <v>0.10582755051300601</v>
      </c>
      <c r="E105">
        <f>SQRT(D105)</f>
        <v>0.32531146692517005</v>
      </c>
      <c r="F105">
        <v>77000.699436869298</v>
      </c>
      <c r="G105">
        <v>14.341104300052301</v>
      </c>
      <c r="H105">
        <v>100381.693625555</v>
      </c>
      <c r="I105">
        <f>H105/F105</f>
        <v>1.3036465169755389</v>
      </c>
      <c r="J105">
        <v>1.8775449999957301</v>
      </c>
      <c r="K105">
        <v>2104948.82668303</v>
      </c>
      <c r="L105" t="s">
        <v>44</v>
      </c>
      <c r="M105">
        <v>0</v>
      </c>
      <c r="N105">
        <v>196</v>
      </c>
      <c r="O105">
        <f>(N105+1)/B105</f>
        <v>0.37884615384615383</v>
      </c>
      <c r="P105">
        <v>104695.43731956701</v>
      </c>
      <c r="Q105">
        <f>P105/F105</f>
        <v>1.3596686534698796</v>
      </c>
      <c r="R105">
        <v>14.341104300052301</v>
      </c>
      <c r="S105">
        <v>287</v>
      </c>
      <c r="T105">
        <f>(S105+1)/B105</f>
        <v>0.55384615384615388</v>
      </c>
      <c r="U105">
        <v>102742.794318688</v>
      </c>
      <c r="V105">
        <f>U105/F105</f>
        <v>1.3343098838072753</v>
      </c>
      <c r="W105">
        <v>4.3342962000169702</v>
      </c>
      <c r="X105" t="str">
        <f>IF(H105=MIN(H105,P105,U105),"Christofides",IF(P105=MIN(H105,P105,U105),"Arithmetic Series","Nearest Neighbor"))</f>
        <v>Christofides</v>
      </c>
      <c r="Y105">
        <f>MIN(H105,P105,U105)</f>
        <v>100381.693625555</v>
      </c>
      <c r="Z105">
        <f>Y105/F105</f>
        <v>1.3036465169755389</v>
      </c>
      <c r="AA105">
        <v>3612</v>
      </c>
      <c r="AB105">
        <v>4299</v>
      </c>
      <c r="AC105">
        <f>AA105/AB105</f>
        <v>0.84019539427773904</v>
      </c>
      <c r="AD105">
        <v>0</v>
      </c>
      <c r="AE105">
        <v>100381.693625555</v>
      </c>
      <c r="AF105">
        <v>940</v>
      </c>
      <c r="AG105">
        <f>AF105/AB105</f>
        <v>0.21865550127936728</v>
      </c>
      <c r="AH105" s="1">
        <v>1.16415321826934E-10</v>
      </c>
      <c r="AI105" s="4">
        <v>100289.952306059</v>
      </c>
      <c r="AJ105" s="4">
        <v>3390</v>
      </c>
      <c r="AK105" s="4">
        <f>AJ105/AB105</f>
        <v>0.78855547801814374</v>
      </c>
      <c r="AL105">
        <v>100154.708884583</v>
      </c>
      <c r="AM105">
        <f>AL105/F105</f>
        <v>1.3006986899735504</v>
      </c>
      <c r="AN105">
        <v>0.98121070000343003</v>
      </c>
      <c r="AO105">
        <v>8</v>
      </c>
      <c r="AP105">
        <f>AO105/10</f>
        <v>0.8</v>
      </c>
      <c r="AQ105">
        <v>100379.171511248</v>
      </c>
      <c r="AR105">
        <f>AQ105/F105</f>
        <v>1.3036137625418072</v>
      </c>
      <c r="AS105">
        <v>94.945338300021803</v>
      </c>
      <c r="AT105">
        <v>52</v>
      </c>
      <c r="AU105">
        <f>AT105/100</f>
        <v>0.52</v>
      </c>
      <c r="AV105">
        <v>100044.720070271</v>
      </c>
      <c r="AW105">
        <f>AV105/F105</f>
        <v>1.2992702767887823</v>
      </c>
      <c r="AX105">
        <v>87.368779200012796</v>
      </c>
      <c r="AY105" t="str">
        <f>IF(AL105=MIN(AL105,AQ105,AV105),"Simulated Annealing",IF(AQ105=MIN(AL105,AQ105,AV105),"Ant Colony Optimization","Genetic Algorithm"))</f>
        <v>Genetic Algorithm</v>
      </c>
      <c r="AZ105">
        <f>MIN(AL105,AQ105,AV105)</f>
        <v>100044.720070271</v>
      </c>
      <c r="BA105">
        <f>AZ105/F105</f>
        <v>1.2992702767887823</v>
      </c>
      <c r="BB105">
        <v>99452.333741336101</v>
      </c>
      <c r="BC105">
        <f>BB105/F105</f>
        <v>1.2915770177240307</v>
      </c>
      <c r="BD105">
        <v>0.112</v>
      </c>
      <c r="BE105">
        <v>5</v>
      </c>
      <c r="BF105">
        <v>5.0030000000000001</v>
      </c>
    </row>
    <row r="106" spans="1:58" x14ac:dyDescent="0.3">
      <c r="A106">
        <v>113</v>
      </c>
      <c r="B106">
        <v>525</v>
      </c>
      <c r="C106">
        <v>4.8770042051787803E-2</v>
      </c>
      <c r="D106">
        <v>5.3475292968490899E-2</v>
      </c>
      <c r="E106">
        <f>SQRT(D106)</f>
        <v>0.231247255050716</v>
      </c>
      <c r="F106">
        <v>75664.071971138197</v>
      </c>
      <c r="G106">
        <v>14.368916300008999</v>
      </c>
      <c r="H106">
        <v>99885.075975985194</v>
      </c>
      <c r="I106">
        <f>H106/F106</f>
        <v>1.3201123515277635</v>
      </c>
      <c r="J106">
        <v>1.8650038000196201</v>
      </c>
      <c r="K106">
        <v>2149461.52472923</v>
      </c>
      <c r="L106" t="s">
        <v>44</v>
      </c>
      <c r="M106" t="s">
        <v>37</v>
      </c>
      <c r="N106">
        <v>366</v>
      </c>
      <c r="O106">
        <f>(N106+1)/B106</f>
        <v>0.69904761904761903</v>
      </c>
      <c r="P106">
        <v>108741.092712004</v>
      </c>
      <c r="Q106">
        <f>P106/F106</f>
        <v>1.4371562338527448</v>
      </c>
      <c r="R106">
        <v>14.368916300008999</v>
      </c>
      <c r="S106">
        <v>444</v>
      </c>
      <c r="T106">
        <f>(S106+1)/B106</f>
        <v>0.84761904761904761</v>
      </c>
      <c r="U106">
        <v>103673.66840946001</v>
      </c>
      <c r="V106">
        <f>U106/F106</f>
        <v>1.3701835720526114</v>
      </c>
      <c r="W106">
        <v>4.4212597999721703</v>
      </c>
      <c r="X106" t="str">
        <f>IF(H106=MIN(H106,P106,U106),"Christofides",IF(P106=MIN(H106,P106,U106),"Arithmetic Series","Nearest Neighbor"))</f>
        <v>Christofides</v>
      </c>
      <c r="Y106">
        <f>MIN(H106,P106,U106)</f>
        <v>99885.075975985194</v>
      </c>
      <c r="Z106">
        <f>Y106/F106</f>
        <v>1.3201123515277635</v>
      </c>
      <c r="AA106">
        <v>4134</v>
      </c>
      <c r="AB106">
        <v>4300</v>
      </c>
      <c r="AC106">
        <f>AA106/AB106</f>
        <v>0.96139534883720934</v>
      </c>
      <c r="AD106">
        <v>0</v>
      </c>
      <c r="AE106">
        <v>99245.837980243101</v>
      </c>
      <c r="AF106">
        <v>1420</v>
      </c>
      <c r="AG106">
        <f>AF106/AB106</f>
        <v>0.33023255813953489</v>
      </c>
      <c r="AH106" s="1">
        <v>1.7462298274040199E-10</v>
      </c>
      <c r="AI106" s="4">
        <v>99245.837980243101</v>
      </c>
      <c r="AJ106" s="4">
        <v>1420</v>
      </c>
      <c r="AK106" s="4">
        <f>AJ106/AB106</f>
        <v>0.33023255813953489</v>
      </c>
      <c r="AL106">
        <v>98960.811162715298</v>
      </c>
      <c r="AM106">
        <f>AL106/F106</f>
        <v>1.3078969791695001</v>
      </c>
      <c r="AN106">
        <v>1.00571950001176</v>
      </c>
      <c r="AO106">
        <v>1</v>
      </c>
      <c r="AP106">
        <f>AO106/10</f>
        <v>0.1</v>
      </c>
      <c r="AQ106">
        <v>99885.075975985194</v>
      </c>
      <c r="AR106">
        <f>AQ106/F106</f>
        <v>1.3201123515277635</v>
      </c>
      <c r="AS106">
        <v>101.457317200023</v>
      </c>
      <c r="AT106">
        <v>94</v>
      </c>
      <c r="AU106">
        <f>AT106/100</f>
        <v>0.94</v>
      </c>
      <c r="AV106">
        <v>99870.008363272995</v>
      </c>
      <c r="AW106">
        <f>AV106/F106</f>
        <v>1.3199132132535514</v>
      </c>
      <c r="AX106">
        <v>91.842151499935397</v>
      </c>
      <c r="AY106" t="str">
        <f>IF(AL106=MIN(AL106,AQ106,AV106),"Simulated Annealing",IF(AQ106=MIN(AL106,AQ106,AV106),"Ant Colony Optimization","Genetic Algorithm"))</f>
        <v>Simulated Annealing</v>
      </c>
      <c r="AZ106">
        <f>MIN(AL106,AQ106,AV106)</f>
        <v>98960.811162715298</v>
      </c>
      <c r="BA106">
        <f>AZ106/F106</f>
        <v>1.3078969791695001</v>
      </c>
      <c r="BB106">
        <v>99444.511307796696</v>
      </c>
      <c r="BC106">
        <f>BB106/F106</f>
        <v>1.3142897113141025</v>
      </c>
      <c r="BD106">
        <v>0.112</v>
      </c>
      <c r="BE106">
        <v>5</v>
      </c>
      <c r="BF106">
        <v>5</v>
      </c>
    </row>
    <row r="107" spans="1:58" x14ac:dyDescent="0.3">
      <c r="A107">
        <v>53</v>
      </c>
      <c r="B107">
        <v>530</v>
      </c>
      <c r="C107">
        <v>4.9546146211435098E-2</v>
      </c>
      <c r="D107">
        <v>0.17068307332618399</v>
      </c>
      <c r="E107">
        <f>SQRT(D107)</f>
        <v>0.41313808021796294</v>
      </c>
      <c r="F107">
        <v>77635.415011138801</v>
      </c>
      <c r="G107">
        <v>15.5414237999939</v>
      </c>
      <c r="H107">
        <v>99870.672332560498</v>
      </c>
      <c r="I107">
        <f>H107/F107</f>
        <v>1.2864061114148932</v>
      </c>
      <c r="J107">
        <v>1.9857329999795099</v>
      </c>
      <c r="K107">
        <v>2194476.5147432899</v>
      </c>
      <c r="L107" t="s">
        <v>44</v>
      </c>
      <c r="M107">
        <v>0</v>
      </c>
      <c r="N107">
        <v>128</v>
      </c>
      <c r="O107">
        <f>(N107+1)/B107</f>
        <v>0.24339622641509434</v>
      </c>
      <c r="P107">
        <v>106877.673028722</v>
      </c>
      <c r="Q107">
        <f>P107/F107</f>
        <v>1.3766613215552159</v>
      </c>
      <c r="R107">
        <v>15.5414237999939</v>
      </c>
      <c r="S107">
        <v>54</v>
      </c>
      <c r="T107">
        <f>(S107+1)/B107</f>
        <v>0.10377358490566038</v>
      </c>
      <c r="U107">
        <v>100638.605627711</v>
      </c>
      <c r="V107">
        <f>U107/F107</f>
        <v>1.2962976447446286</v>
      </c>
      <c r="W107">
        <v>4.5640149999526303</v>
      </c>
      <c r="X107" t="str">
        <f>IF(H107=MIN(H107,P107,U107),"Christofides",IF(P107=MIN(H107,P107,U107),"Arithmetic Series","Nearest Neighbor"))</f>
        <v>Christofides</v>
      </c>
      <c r="Y107">
        <f>MIN(H107,P107,U107)</f>
        <v>99870.672332560498</v>
      </c>
      <c r="Z107">
        <f>Y107/F107</f>
        <v>1.2864061114148932</v>
      </c>
      <c r="AA107">
        <v>3773</v>
      </c>
      <c r="AB107">
        <v>4301</v>
      </c>
      <c r="AC107">
        <f>AA107/AB107</f>
        <v>0.87723785166240409</v>
      </c>
      <c r="AD107">
        <v>0</v>
      </c>
      <c r="AE107">
        <v>99346.904885352706</v>
      </c>
      <c r="AF107">
        <v>220</v>
      </c>
      <c r="AG107">
        <f>AF107/AB107</f>
        <v>5.1150895140664961E-2</v>
      </c>
      <c r="AH107" s="1">
        <v>8.7311491370201098E-11</v>
      </c>
      <c r="AI107" s="4">
        <v>99346.904885352706</v>
      </c>
      <c r="AJ107" s="4">
        <v>220</v>
      </c>
      <c r="AK107" s="4">
        <f>AJ107/AB107</f>
        <v>5.1150895140664961E-2</v>
      </c>
      <c r="AL107">
        <v>99092.852653953305</v>
      </c>
      <c r="AM107">
        <f>AL107/F107</f>
        <v>1.2763872343534954</v>
      </c>
      <c r="AN107">
        <v>0.96177719999104705</v>
      </c>
      <c r="AO107">
        <v>1</v>
      </c>
      <c r="AP107">
        <f>AO107/10</f>
        <v>0.1</v>
      </c>
      <c r="AQ107">
        <v>99870.672332560498</v>
      </c>
      <c r="AR107">
        <f>AQ107/F107</f>
        <v>1.2864061114148932</v>
      </c>
      <c r="AS107">
        <v>100.80028700002001</v>
      </c>
      <c r="AT107">
        <v>69</v>
      </c>
      <c r="AU107">
        <f>AT107/100</f>
        <v>0.69</v>
      </c>
      <c r="AV107">
        <v>99697.141108490701</v>
      </c>
      <c r="AW107">
        <f>AV107/F107</f>
        <v>1.2841709044021543</v>
      </c>
      <c r="AX107">
        <v>93.614593899983404</v>
      </c>
      <c r="AY107" t="str">
        <f>IF(AL107=MIN(AL107,AQ107,AV107),"Simulated Annealing",IF(AQ107=MIN(AL107,AQ107,AV107),"Ant Colony Optimization","Genetic Algorithm"))</f>
        <v>Simulated Annealing</v>
      </c>
      <c r="AZ107">
        <f>MIN(AL107,AQ107,AV107)</f>
        <v>99092.852653953305</v>
      </c>
      <c r="BA107">
        <f>AZ107/F107</f>
        <v>1.2763872343534954</v>
      </c>
      <c r="BB107">
        <v>101737.802986774</v>
      </c>
      <c r="BC107">
        <f>BB107/F107</f>
        <v>1.310456097544878</v>
      </c>
      <c r="BD107">
        <v>0.112</v>
      </c>
      <c r="BE107">
        <v>5</v>
      </c>
      <c r="BF107">
        <v>5</v>
      </c>
    </row>
    <row r="108" spans="1:58" x14ac:dyDescent="0.3">
      <c r="A108">
        <v>114</v>
      </c>
      <c r="B108">
        <v>535</v>
      </c>
      <c r="C108">
        <v>4.7986111863730203E-2</v>
      </c>
      <c r="D108">
        <v>0.197116887814792</v>
      </c>
      <c r="E108">
        <f>SQRT(D108)</f>
        <v>0.44397847674723151</v>
      </c>
      <c r="F108">
        <v>77277.085328455505</v>
      </c>
      <c r="G108">
        <v>16.158277599955898</v>
      </c>
      <c r="H108">
        <v>100248.17603253201</v>
      </c>
      <c r="I108">
        <f>H108/F108</f>
        <v>1.2972561737601913</v>
      </c>
      <c r="J108">
        <v>1.9410957000218301</v>
      </c>
      <c r="K108">
        <v>2239991.2767543001</v>
      </c>
      <c r="L108" t="s">
        <v>44</v>
      </c>
      <c r="M108" t="s">
        <v>37</v>
      </c>
      <c r="N108">
        <v>242</v>
      </c>
      <c r="O108">
        <f>(N108+1)/B108</f>
        <v>0.45420560747663552</v>
      </c>
      <c r="P108">
        <v>112983.98047836599</v>
      </c>
      <c r="Q108">
        <f>P108/F108</f>
        <v>1.4620631717428691</v>
      </c>
      <c r="R108">
        <v>16.158277599955898</v>
      </c>
      <c r="S108">
        <v>293</v>
      </c>
      <c r="T108">
        <f>(S108+1)/B108</f>
        <v>0.54953271028037387</v>
      </c>
      <c r="U108">
        <v>105784.75399551399</v>
      </c>
      <c r="V108">
        <f>U108/F108</f>
        <v>1.3689019655165644</v>
      </c>
      <c r="W108">
        <v>4.6144219000125304</v>
      </c>
      <c r="X108" t="str">
        <f>IF(H108=MIN(H108,P108,U108),"Christofides",IF(P108=MIN(H108,P108,U108),"Arithmetic Series","Nearest Neighbor"))</f>
        <v>Christofides</v>
      </c>
      <c r="Y108">
        <f>MIN(H108,P108,U108)</f>
        <v>100248.17603253201</v>
      </c>
      <c r="Z108">
        <f>Y108/F108</f>
        <v>1.2972561737601913</v>
      </c>
      <c r="AA108">
        <v>3890</v>
      </c>
      <c r="AB108">
        <v>4302</v>
      </c>
      <c r="AC108">
        <f>AA108/AB108</f>
        <v>0.90423059042305909</v>
      </c>
      <c r="AD108">
        <v>0</v>
      </c>
      <c r="AE108">
        <v>100248.17603253201</v>
      </c>
      <c r="AF108">
        <v>399</v>
      </c>
      <c r="AG108">
        <f>AF108/AB108</f>
        <v>9.2747559274755934E-2</v>
      </c>
      <c r="AH108" s="1">
        <v>1.6007106751203501E-10</v>
      </c>
      <c r="AI108" s="4">
        <v>100248.17603253201</v>
      </c>
      <c r="AJ108" s="4">
        <v>399</v>
      </c>
      <c r="AK108" s="4">
        <f>AJ108/AB108</f>
        <v>9.2747559274755934E-2</v>
      </c>
      <c r="AL108">
        <v>99723.003094626605</v>
      </c>
      <c r="AM108">
        <f>AL108/F108</f>
        <v>1.2904602013749333</v>
      </c>
      <c r="AN108">
        <v>0.98364099999889698</v>
      </c>
      <c r="AO108">
        <v>1</v>
      </c>
      <c r="AP108">
        <f>AO108/10</f>
        <v>0.1</v>
      </c>
      <c r="AQ108">
        <v>100248.17603253201</v>
      </c>
      <c r="AR108">
        <f>AQ108/F108</f>
        <v>1.2972561737601913</v>
      </c>
      <c r="AS108">
        <v>104.212999799987</v>
      </c>
      <c r="AT108">
        <v>25</v>
      </c>
      <c r="AU108">
        <f>AT108/100</f>
        <v>0.25</v>
      </c>
      <c r="AV108">
        <v>100200.440668892</v>
      </c>
      <c r="AW108">
        <f>AV108/F108</f>
        <v>1.2966384568336651</v>
      </c>
      <c r="AX108">
        <v>95.736422399990204</v>
      </c>
      <c r="AY108" t="str">
        <f>IF(AL108=MIN(AL108,AQ108,AV108),"Simulated Annealing",IF(AQ108=MIN(AL108,AQ108,AV108),"Ant Colony Optimization","Genetic Algorithm"))</f>
        <v>Simulated Annealing</v>
      </c>
      <c r="AZ108">
        <f>MIN(AL108,AQ108,AV108)</f>
        <v>99723.003094626605</v>
      </c>
      <c r="BA108">
        <f>AZ108/F108</f>
        <v>1.2904602013749333</v>
      </c>
      <c r="BB108">
        <v>102592.20887617199</v>
      </c>
      <c r="BC108">
        <f>BB108/F108</f>
        <v>1.3275890057203643</v>
      </c>
      <c r="BD108">
        <v>0.112</v>
      </c>
      <c r="BE108">
        <v>5</v>
      </c>
      <c r="BF108">
        <v>5.0759999999999996</v>
      </c>
    </row>
    <row r="109" spans="1:58" x14ac:dyDescent="0.3">
      <c r="A109">
        <v>54</v>
      </c>
      <c r="B109">
        <v>540</v>
      </c>
      <c r="C109">
        <v>4.7780374927427198E-2</v>
      </c>
      <c r="D109">
        <v>0.135756325648965</v>
      </c>
      <c r="E109">
        <f>SQRT(D109)</f>
        <v>0.36845125274446416</v>
      </c>
      <c r="F109">
        <v>79444.367739292604</v>
      </c>
      <c r="G109">
        <v>16.392414200003198</v>
      </c>
      <c r="H109">
        <v>105348.603878744</v>
      </c>
      <c r="I109">
        <f>H109/F109</f>
        <v>1.3260676228736521</v>
      </c>
      <c r="J109">
        <v>2.0478193000308198</v>
      </c>
      <c r="K109">
        <v>2286005.9596553999</v>
      </c>
      <c r="L109" t="s">
        <v>44</v>
      </c>
      <c r="M109">
        <v>0</v>
      </c>
      <c r="N109">
        <v>517</v>
      </c>
      <c r="O109">
        <f>(N109+1)/B109</f>
        <v>0.95925925925925926</v>
      </c>
      <c r="P109">
        <v>107074.610539758</v>
      </c>
      <c r="Q109">
        <f>P109/F109</f>
        <v>1.3477936018213117</v>
      </c>
      <c r="R109">
        <v>16.392414200003198</v>
      </c>
      <c r="S109">
        <v>136</v>
      </c>
      <c r="T109">
        <f>(S109+1)/B109</f>
        <v>0.25370370370370371</v>
      </c>
      <c r="U109">
        <v>102247.580197003</v>
      </c>
      <c r="V109">
        <f>U109/F109</f>
        <v>1.2870337206602513</v>
      </c>
      <c r="W109">
        <v>4.92038049997063</v>
      </c>
      <c r="X109" t="str">
        <f>IF(H109=MIN(H109,P109,U109),"Christofides",IF(P109=MIN(H109,P109,U109),"Arithmetic Series","Nearest Neighbor"))</f>
        <v>Nearest Neighbor</v>
      </c>
      <c r="Y109">
        <f>MIN(H109,P109,U109)</f>
        <v>102247.580197003</v>
      </c>
      <c r="Z109">
        <f>Y109/F109</f>
        <v>1.2870337206602513</v>
      </c>
      <c r="AA109">
        <v>4192</v>
      </c>
      <c r="AB109">
        <v>4303</v>
      </c>
      <c r="AC109">
        <f>AA109/AB109</f>
        <v>0.97420404369044855</v>
      </c>
      <c r="AD109">
        <v>0</v>
      </c>
      <c r="AE109">
        <v>102247.580197003</v>
      </c>
      <c r="AF109">
        <v>2115</v>
      </c>
      <c r="AG109">
        <f>AF109/AB109</f>
        <v>0.49151754589821056</v>
      </c>
      <c r="AH109" s="1">
        <v>2.0372681319713499E-10</v>
      </c>
      <c r="AI109" s="4">
        <v>101863.156468959</v>
      </c>
      <c r="AJ109" s="4">
        <v>3769</v>
      </c>
      <c r="AK109" s="4">
        <f>AJ109/AB109</f>
        <v>0.87590053451080641</v>
      </c>
      <c r="AL109">
        <v>101786.97164668</v>
      </c>
      <c r="AM109">
        <f>AL109/F109</f>
        <v>1.2812358451980845</v>
      </c>
      <c r="AN109">
        <v>0.99407100002281301</v>
      </c>
      <c r="AO109">
        <v>1</v>
      </c>
      <c r="AP109">
        <f>AO109/10</f>
        <v>0.1</v>
      </c>
      <c r="AQ109">
        <v>102247.580197003</v>
      </c>
      <c r="AR109">
        <f>AQ109/F109</f>
        <v>1.2870337206602513</v>
      </c>
      <c r="AS109">
        <v>105.023897000006</v>
      </c>
      <c r="AT109">
        <v>62</v>
      </c>
      <c r="AU109">
        <f>AT109/100</f>
        <v>0.62</v>
      </c>
      <c r="AV109">
        <v>100855.670589495</v>
      </c>
      <c r="AW109">
        <f>AV109/F109</f>
        <v>1.2695131632297265</v>
      </c>
      <c r="AX109">
        <v>98.602505200018598</v>
      </c>
      <c r="AY109" t="str">
        <f>IF(AL109=MIN(AL109,AQ109,AV109),"Simulated Annealing",IF(AQ109=MIN(AL109,AQ109,AV109),"Ant Colony Optimization","Genetic Algorithm"))</f>
        <v>Genetic Algorithm</v>
      </c>
      <c r="AZ109">
        <f>MIN(AL109,AQ109,AV109)</f>
        <v>100855.670589495</v>
      </c>
      <c r="BA109">
        <f>AZ109/F109</f>
        <v>1.2695131632297265</v>
      </c>
      <c r="BB109">
        <v>108936.86521566</v>
      </c>
      <c r="BC109">
        <f>BB109/F109</f>
        <v>1.3712345924024596</v>
      </c>
      <c r="BD109">
        <v>0.112</v>
      </c>
      <c r="BE109">
        <v>5</v>
      </c>
      <c r="BF109">
        <v>5.1120000000000001</v>
      </c>
    </row>
    <row r="110" spans="1:58" x14ac:dyDescent="0.3">
      <c r="A110">
        <v>115</v>
      </c>
      <c r="B110">
        <v>545</v>
      </c>
      <c r="C110">
        <v>4.5632297541786999E-2</v>
      </c>
      <c r="D110">
        <v>0.14002229128985599</v>
      </c>
      <c r="E110">
        <f>SQRT(D110)</f>
        <v>0.37419552548080526</v>
      </c>
      <c r="F110">
        <v>75773.366295927801</v>
      </c>
      <c r="G110">
        <v>17.151205600006499</v>
      </c>
      <c r="H110">
        <v>103431.520806015</v>
      </c>
      <c r="I110">
        <f>H110/F110</f>
        <v>1.3650115583102134</v>
      </c>
      <c r="J110">
        <v>2.0478934999555301</v>
      </c>
      <c r="K110">
        <v>2332520.4320892701</v>
      </c>
      <c r="L110" t="s">
        <v>44</v>
      </c>
      <c r="M110" t="s">
        <v>37</v>
      </c>
      <c r="N110">
        <v>373</v>
      </c>
      <c r="O110">
        <f>(N110+1)/B110</f>
        <v>0.68623853211009178</v>
      </c>
      <c r="P110">
        <v>108434.65597857699</v>
      </c>
      <c r="Q110">
        <f>P110/F110</f>
        <v>1.4310391801136657</v>
      </c>
      <c r="R110">
        <v>17.151205600006499</v>
      </c>
      <c r="S110">
        <v>479</v>
      </c>
      <c r="T110">
        <f>(S110+1)/B110</f>
        <v>0.88073394495412849</v>
      </c>
      <c r="U110">
        <v>101362.98101514101</v>
      </c>
      <c r="V110">
        <f>U110/F110</f>
        <v>1.337712523147971</v>
      </c>
      <c r="W110">
        <v>4.90423800004646</v>
      </c>
      <c r="X110" t="str">
        <f>IF(H110=MIN(H110,P110,U110),"Christofides",IF(P110=MIN(H110,P110,U110),"Arithmetic Series","Nearest Neighbor"))</f>
        <v>Nearest Neighbor</v>
      </c>
      <c r="Y110">
        <f>MIN(H110,P110,U110)</f>
        <v>101362.98101514101</v>
      </c>
      <c r="Z110">
        <f>Y110/F110</f>
        <v>1.337712523147971</v>
      </c>
      <c r="AA110">
        <v>3865</v>
      </c>
      <c r="AB110">
        <v>4304</v>
      </c>
      <c r="AC110">
        <f>AA110/AB110</f>
        <v>0.89800185873605953</v>
      </c>
      <c r="AD110">
        <v>0</v>
      </c>
      <c r="AE110">
        <v>101362.98101514101</v>
      </c>
      <c r="AF110">
        <v>561</v>
      </c>
      <c r="AG110">
        <f>AF110/AB110</f>
        <v>0.13034386617100371</v>
      </c>
      <c r="AH110" s="1">
        <v>5.8207660913467401E-11</v>
      </c>
      <c r="AI110" s="4">
        <v>101248.251587255</v>
      </c>
      <c r="AJ110" s="4">
        <v>1618</v>
      </c>
      <c r="AK110" s="4">
        <f>AJ110/AB110</f>
        <v>0.37592936802973975</v>
      </c>
      <c r="AL110">
        <v>100890.99117099099</v>
      </c>
      <c r="AM110">
        <f>AL110/F110</f>
        <v>1.3314835555407158</v>
      </c>
      <c r="AN110">
        <v>1.0110744000412499</v>
      </c>
      <c r="AO110">
        <v>3</v>
      </c>
      <c r="AP110">
        <f>AO110/10</f>
        <v>0.3</v>
      </c>
      <c r="AQ110">
        <v>100724.798328776</v>
      </c>
      <c r="AR110">
        <f>AQ110/F110</f>
        <v>1.3292902671817701</v>
      </c>
      <c r="AS110">
        <v>110.76399040000901</v>
      </c>
      <c r="AT110">
        <v>11</v>
      </c>
      <c r="AU110">
        <f>AT110/100</f>
        <v>0.11</v>
      </c>
      <c r="AV110">
        <v>101042.067990154</v>
      </c>
      <c r="AW110">
        <f>AV110/F110</f>
        <v>1.3334773539760789</v>
      </c>
      <c r="AX110">
        <v>101.20326990005501</v>
      </c>
      <c r="AY110" t="str">
        <f>IF(AL110=MIN(AL110,AQ110,AV110),"Simulated Annealing",IF(AQ110=MIN(AL110,AQ110,AV110),"Ant Colony Optimization","Genetic Algorithm"))</f>
        <v>Ant Colony Optimization</v>
      </c>
      <c r="AZ110">
        <f>MIN(AL110,AQ110,AV110)</f>
        <v>100724.798328776</v>
      </c>
      <c r="BA110">
        <f>AZ110/F110</f>
        <v>1.3292902671817701</v>
      </c>
      <c r="BB110">
        <v>101946.217889712</v>
      </c>
      <c r="BC110">
        <f>BB110/F110</f>
        <v>1.3454096455417843</v>
      </c>
      <c r="BD110">
        <v>0.112</v>
      </c>
      <c r="BE110">
        <v>5</v>
      </c>
      <c r="BF110">
        <v>5.0570000000000004</v>
      </c>
    </row>
    <row r="111" spans="1:58" x14ac:dyDescent="0.3">
      <c r="A111">
        <v>55</v>
      </c>
      <c r="B111">
        <v>550</v>
      </c>
      <c r="C111">
        <v>4.5536284868189301E-2</v>
      </c>
      <c r="D111">
        <v>0.146284560077589</v>
      </c>
      <c r="E111">
        <f>SQRT(D111)</f>
        <v>0.38247164610934103</v>
      </c>
      <c r="F111">
        <v>76563.421767077205</v>
      </c>
      <c r="G111">
        <v>17.5857595000416</v>
      </c>
      <c r="H111">
        <v>101585.616212186</v>
      </c>
      <c r="I111">
        <f>H111/F111</f>
        <v>1.3268165641973502</v>
      </c>
      <c r="J111">
        <v>2.1621787000330999</v>
      </c>
      <c r="K111">
        <v>2379539.1337059699</v>
      </c>
      <c r="L111" t="s">
        <v>44</v>
      </c>
      <c r="M111">
        <v>0</v>
      </c>
      <c r="N111">
        <v>355</v>
      </c>
      <c r="O111">
        <f>(N111+1)/B111</f>
        <v>0.64727272727272722</v>
      </c>
      <c r="P111">
        <v>107722.986397263</v>
      </c>
      <c r="Q111">
        <f>P111/F111</f>
        <v>1.4069771688754984</v>
      </c>
      <c r="R111">
        <v>17.5857595000416</v>
      </c>
      <c r="S111">
        <v>82</v>
      </c>
      <c r="T111">
        <f>(S111+1)/B111</f>
        <v>0.15090909090909091</v>
      </c>
      <c r="U111">
        <v>103638.736712408</v>
      </c>
      <c r="V111">
        <f>U111/F111</f>
        <v>1.3536325091072845</v>
      </c>
      <c r="W111">
        <v>5.1577720000059299</v>
      </c>
      <c r="X111" t="str">
        <f>IF(H111=MIN(H111,P111,U111),"Christofides",IF(P111=MIN(H111,P111,U111),"Arithmetic Series","Nearest Neighbor"))</f>
        <v>Christofides</v>
      </c>
      <c r="Y111">
        <f>MIN(H111,P111,U111)</f>
        <v>101585.616212186</v>
      </c>
      <c r="Z111">
        <f>Y111/F111</f>
        <v>1.3268165641973502</v>
      </c>
      <c r="AA111">
        <v>3410</v>
      </c>
      <c r="AB111">
        <v>4305</v>
      </c>
      <c r="AC111">
        <f>AA111/AB111</f>
        <v>0.79210220673635312</v>
      </c>
      <c r="AD111">
        <v>0</v>
      </c>
      <c r="AE111">
        <v>101585.616212186</v>
      </c>
      <c r="AF111">
        <v>493</v>
      </c>
      <c r="AG111">
        <f>AF111/AB111</f>
        <v>0.11451800232288037</v>
      </c>
      <c r="AH111" s="1">
        <v>8.7311491370201098E-11</v>
      </c>
      <c r="AI111" s="4">
        <v>101507.552168436</v>
      </c>
      <c r="AJ111" s="4">
        <v>3614</v>
      </c>
      <c r="AK111" s="4">
        <f>AJ111/AB111</f>
        <v>0.83948896631823466</v>
      </c>
      <c r="AL111">
        <v>101507.552168436</v>
      </c>
      <c r="AM111">
        <f>AL111/F111</f>
        <v>1.3257969644727261</v>
      </c>
      <c r="AN111">
        <v>1.05825569998705</v>
      </c>
      <c r="AO111">
        <v>1</v>
      </c>
      <c r="AP111">
        <f>AO111/10</f>
        <v>0.1</v>
      </c>
      <c r="AQ111">
        <v>101585.616212186</v>
      </c>
      <c r="AR111">
        <f>AQ111/F111</f>
        <v>1.3268165641973502</v>
      </c>
      <c r="AS111">
        <v>110.903227700036</v>
      </c>
      <c r="AT111">
        <v>97</v>
      </c>
      <c r="AU111">
        <f>AT111/100</f>
        <v>0.97</v>
      </c>
      <c r="AV111">
        <v>101423.176423215</v>
      </c>
      <c r="AW111">
        <f>AV111/F111</f>
        <v>1.3246949271907758</v>
      </c>
      <c r="AX111">
        <v>105.582984300039</v>
      </c>
      <c r="AY111" t="str">
        <f>IF(AL111=MIN(AL111,AQ111,AV111),"Simulated Annealing",IF(AQ111=MIN(AL111,AQ111,AV111),"Ant Colony Optimization","Genetic Algorithm"))</f>
        <v>Genetic Algorithm</v>
      </c>
      <c r="AZ111">
        <f>MIN(AL111,AQ111,AV111)</f>
        <v>101423.176423215</v>
      </c>
      <c r="BA111">
        <f>AZ111/F111</f>
        <v>1.3246949271907758</v>
      </c>
      <c r="BB111">
        <v>107801.683873382</v>
      </c>
      <c r="BC111">
        <f>BB111/F111</f>
        <v>1.4080050419028878</v>
      </c>
      <c r="BD111">
        <v>0.112</v>
      </c>
      <c r="BE111">
        <v>5</v>
      </c>
      <c r="BF111">
        <v>5.0819999999999999</v>
      </c>
    </row>
    <row r="112" spans="1:58" x14ac:dyDescent="0.3">
      <c r="A112">
        <v>116</v>
      </c>
      <c r="B112">
        <v>555</v>
      </c>
      <c r="C112">
        <v>4.5105487799992301E-2</v>
      </c>
      <c r="D112">
        <v>9.4230695010407595E-2</v>
      </c>
      <c r="E112">
        <f>SQRT(D112)</f>
        <v>0.30697018586567587</v>
      </c>
      <c r="F112">
        <v>79442.842395292697</v>
      </c>
      <c r="G112">
        <v>17.629119100049099</v>
      </c>
      <c r="H112">
        <v>105593.24006896499</v>
      </c>
      <c r="I112">
        <f>H112/F112</f>
        <v>1.32917248282171</v>
      </c>
      <c r="J112">
        <v>2.1975273999851099</v>
      </c>
      <c r="K112">
        <v>2427058.0265774298</v>
      </c>
      <c r="L112" t="s">
        <v>44</v>
      </c>
      <c r="M112">
        <v>1</v>
      </c>
      <c r="N112">
        <v>13</v>
      </c>
      <c r="O112">
        <f>(N112+1)/B112</f>
        <v>2.5225225225225224E-2</v>
      </c>
      <c r="P112">
        <v>113414.046574198</v>
      </c>
      <c r="Q112">
        <f>P112/F112</f>
        <v>1.4276181862913584</v>
      </c>
      <c r="R112">
        <v>17.629119100049099</v>
      </c>
      <c r="S112">
        <v>113</v>
      </c>
      <c r="T112">
        <f>(S112+1)/B112</f>
        <v>0.20540540540540542</v>
      </c>
      <c r="U112">
        <v>107983.92440615701</v>
      </c>
      <c r="V112">
        <f>U112/F112</f>
        <v>1.3592656197879884</v>
      </c>
      <c r="W112">
        <v>5.2694055999163503</v>
      </c>
      <c r="X112" t="str">
        <f>IF(H112=MIN(H112,P112,U112),"Christofides",IF(P112=MIN(H112,P112,U112),"Arithmetic Series","Nearest Neighbor"))</f>
        <v>Christofides</v>
      </c>
      <c r="Y112">
        <f>MIN(H112,P112,U112)</f>
        <v>105593.24006896499</v>
      </c>
      <c r="Z112">
        <f>Y112/F112</f>
        <v>1.32917248282171</v>
      </c>
      <c r="AA112">
        <v>4035</v>
      </c>
      <c r="AB112">
        <v>4306</v>
      </c>
      <c r="AC112">
        <f>AA112/AB112</f>
        <v>0.93706456107756619</v>
      </c>
      <c r="AD112">
        <v>0</v>
      </c>
      <c r="AE112">
        <v>105543.555410184</v>
      </c>
      <c r="AF112">
        <v>747</v>
      </c>
      <c r="AG112">
        <f>AF112/AB112</f>
        <v>0.17347886669763121</v>
      </c>
      <c r="AH112" s="1">
        <v>8.7311491370201098E-11</v>
      </c>
      <c r="AI112" s="4">
        <v>105390.445310239</v>
      </c>
      <c r="AJ112" s="4">
        <v>1893</v>
      </c>
      <c r="AK112" s="4">
        <f>AJ112/AB112</f>
        <v>0.43961913608917791</v>
      </c>
      <c r="AL112">
        <v>105379.530385965</v>
      </c>
      <c r="AM112">
        <f>AL112/F112</f>
        <v>1.3264823766201139</v>
      </c>
      <c r="AN112">
        <v>1.1010959000559499</v>
      </c>
      <c r="AO112">
        <v>1</v>
      </c>
      <c r="AP112">
        <f>AO112/10</f>
        <v>0.1</v>
      </c>
      <c r="AQ112">
        <v>105593.24006896499</v>
      </c>
      <c r="AR112">
        <f>AQ112/F112</f>
        <v>1.32917248282171</v>
      </c>
      <c r="AS112">
        <v>116.789073600084</v>
      </c>
      <c r="AT112">
        <v>64</v>
      </c>
      <c r="AU112">
        <f>AT112/100</f>
        <v>0.64</v>
      </c>
      <c r="AV112">
        <v>105417.19771557</v>
      </c>
      <c r="AW112">
        <f>AV112/F112</f>
        <v>1.3269565204003373</v>
      </c>
      <c r="AX112">
        <v>108.504845399991</v>
      </c>
      <c r="AY112" t="str">
        <f>IF(AL112=MIN(AL112,AQ112,AV112),"Simulated Annealing",IF(AQ112=MIN(AL112,AQ112,AV112),"Ant Colony Optimization","Genetic Algorithm"))</f>
        <v>Simulated Annealing</v>
      </c>
      <c r="AZ112">
        <f>MIN(AL112,AQ112,AV112)</f>
        <v>105379.530385965</v>
      </c>
      <c r="BA112">
        <f>AZ112/F112</f>
        <v>1.3264823766201139</v>
      </c>
      <c r="BB112">
        <v>107584.856887498</v>
      </c>
      <c r="BC112">
        <f>BB112/F112</f>
        <v>1.3542422909816836</v>
      </c>
      <c r="BD112">
        <v>0.112</v>
      </c>
      <c r="BE112">
        <v>5</v>
      </c>
      <c r="BF112">
        <v>5</v>
      </c>
    </row>
    <row r="113" spans="1:58" x14ac:dyDescent="0.3">
      <c r="A113">
        <v>56</v>
      </c>
      <c r="B113">
        <v>560</v>
      </c>
      <c r="C113">
        <v>4.25551091541111E-2</v>
      </c>
      <c r="D113">
        <v>8.1789701662757203E-2</v>
      </c>
      <c r="E113">
        <f>SQRT(D113)</f>
        <v>0.28598898870893125</v>
      </c>
      <c r="F113">
        <v>80195.3992820524</v>
      </c>
      <c r="G113">
        <v>18.845021400018499</v>
      </c>
      <c r="H113">
        <v>107495.889912497</v>
      </c>
      <c r="I113">
        <f>H113/F113</f>
        <v>1.34042464873112</v>
      </c>
      <c r="J113">
        <v>2.2604060000157902</v>
      </c>
      <c r="K113">
        <v>2475080.1103062402</v>
      </c>
      <c r="L113" t="s">
        <v>44</v>
      </c>
      <c r="M113">
        <v>1</v>
      </c>
      <c r="N113">
        <v>216</v>
      </c>
      <c r="O113">
        <f>(N113+1)/B113</f>
        <v>0.38750000000000001</v>
      </c>
      <c r="P113">
        <v>110619.48213330899</v>
      </c>
      <c r="Q113">
        <f>P113/F113</f>
        <v>1.3793744170317443</v>
      </c>
      <c r="R113">
        <v>18.845021400018499</v>
      </c>
      <c r="S113">
        <v>270</v>
      </c>
      <c r="T113">
        <f>(S113+1)/B113</f>
        <v>0.48392857142857143</v>
      </c>
      <c r="U113">
        <v>103615.864143795</v>
      </c>
      <c r="V113">
        <f>U113/F113</f>
        <v>1.2920424995874302</v>
      </c>
      <c r="W113">
        <v>5.5153405000455598</v>
      </c>
      <c r="X113" t="str">
        <f>IF(H113=MIN(H113,P113,U113),"Christofides",IF(P113=MIN(H113,P113,U113),"Arithmetic Series","Nearest Neighbor"))</f>
        <v>Nearest Neighbor</v>
      </c>
      <c r="Y113">
        <f>MIN(H113,P113,U113)</f>
        <v>103615.864143795</v>
      </c>
      <c r="Z113">
        <f>Y113/F113</f>
        <v>1.2920424995874302</v>
      </c>
      <c r="AA113">
        <v>3243</v>
      </c>
      <c r="AB113">
        <v>4307</v>
      </c>
      <c r="AC113">
        <f>AA113/AB113</f>
        <v>0.75296029719061996</v>
      </c>
      <c r="AD113">
        <v>0</v>
      </c>
      <c r="AE113">
        <v>103615.864143795</v>
      </c>
      <c r="AF113">
        <v>168</v>
      </c>
      <c r="AG113">
        <f>AF113/AB113</f>
        <v>3.9006268864638961E-2</v>
      </c>
      <c r="AH113" s="1">
        <v>2.91038304567337E-11</v>
      </c>
      <c r="AI113" s="4">
        <v>103615.864143795</v>
      </c>
      <c r="AJ113" s="4">
        <v>168</v>
      </c>
      <c r="AK113" s="4">
        <f>AJ113/AB113</f>
        <v>3.9006268864638961E-2</v>
      </c>
      <c r="AL113">
        <v>103401.152071705</v>
      </c>
      <c r="AM113">
        <f>AL113/F113</f>
        <v>1.2893651381176676</v>
      </c>
      <c r="AN113">
        <v>1.0771783000091</v>
      </c>
      <c r="AO113">
        <v>1</v>
      </c>
      <c r="AP113">
        <f>AO113/10</f>
        <v>0.1</v>
      </c>
      <c r="AQ113">
        <v>103615.864143795</v>
      </c>
      <c r="AR113">
        <f>AQ113/F113</f>
        <v>1.2920424995874302</v>
      </c>
      <c r="AS113">
        <v>117.232777700002</v>
      </c>
      <c r="AT113">
        <v>46</v>
      </c>
      <c r="AU113">
        <f>AT113/100</f>
        <v>0.46</v>
      </c>
      <c r="AV113">
        <v>103608.65490387</v>
      </c>
      <c r="AW113">
        <f>AV113/F113</f>
        <v>1.2919526036583679</v>
      </c>
      <c r="AX113">
        <v>114.98574780003401</v>
      </c>
      <c r="AY113" t="str">
        <f>IF(AL113=MIN(AL113,AQ113,AV113),"Simulated Annealing",IF(AQ113=MIN(AL113,AQ113,AV113),"Ant Colony Optimization","Genetic Algorithm"))</f>
        <v>Simulated Annealing</v>
      </c>
      <c r="AZ113">
        <f>MIN(AL113,AQ113,AV113)</f>
        <v>103401.152071705</v>
      </c>
      <c r="BA113">
        <f>AZ113/F113</f>
        <v>1.2893651381176676</v>
      </c>
      <c r="BB113">
        <v>108574.52632721</v>
      </c>
      <c r="BC113">
        <f>BB113/F113</f>
        <v>1.3538747521581178</v>
      </c>
      <c r="BD113">
        <v>0.112</v>
      </c>
      <c r="BE113">
        <v>5</v>
      </c>
      <c r="BF113">
        <v>5.0659999999999998</v>
      </c>
    </row>
    <row r="114" spans="1:58" x14ac:dyDescent="0.3">
      <c r="A114">
        <v>117</v>
      </c>
      <c r="B114">
        <v>565</v>
      </c>
      <c r="C114">
        <v>4.2806818801391699E-2</v>
      </c>
      <c r="D114">
        <v>0.177380111659898</v>
      </c>
      <c r="E114">
        <f>SQRT(D114)</f>
        <v>0.42116518334247194</v>
      </c>
      <c r="F114">
        <v>79280.494211255107</v>
      </c>
      <c r="G114">
        <v>18.935066499980099</v>
      </c>
      <c r="H114">
        <v>104846.076773169</v>
      </c>
      <c r="I114">
        <f>H114/F114</f>
        <v>1.3224700201009147</v>
      </c>
      <c r="J114">
        <v>2.2632124000228901</v>
      </c>
      <c r="K114">
        <v>2523605.8205492999</v>
      </c>
      <c r="L114" t="s">
        <v>44</v>
      </c>
      <c r="M114">
        <v>1</v>
      </c>
      <c r="N114">
        <v>151</v>
      </c>
      <c r="O114">
        <f>(N114+1)/B114</f>
        <v>0.26902654867256637</v>
      </c>
      <c r="P114">
        <v>109823.98726860499</v>
      </c>
      <c r="Q114">
        <f>P114/F114</f>
        <v>1.3852586107241214</v>
      </c>
      <c r="R114">
        <v>18.935066499980099</v>
      </c>
      <c r="S114">
        <v>45</v>
      </c>
      <c r="T114">
        <f>(S114+1)/B114</f>
        <v>8.1415929203539822E-2</v>
      </c>
      <c r="U114">
        <v>105607.14197188801</v>
      </c>
      <c r="V114">
        <f>U114/F114</f>
        <v>1.3320696726546821</v>
      </c>
      <c r="W114">
        <v>5.7193514000391499</v>
      </c>
      <c r="X114" t="str">
        <f>IF(H114=MIN(H114,P114,U114),"Christofides",IF(P114=MIN(H114,P114,U114),"Arithmetic Series","Nearest Neighbor"))</f>
        <v>Christofides</v>
      </c>
      <c r="Y114">
        <f>MIN(H114,P114,U114)</f>
        <v>104846.076773169</v>
      </c>
      <c r="Z114">
        <f>Y114/F114</f>
        <v>1.3224700201009147</v>
      </c>
      <c r="AA114">
        <v>1674</v>
      </c>
      <c r="AB114">
        <v>4308</v>
      </c>
      <c r="AC114">
        <f>AA114/AB114</f>
        <v>0.38857938718662954</v>
      </c>
      <c r="AD114">
        <v>0</v>
      </c>
      <c r="AE114">
        <v>104850.840634751</v>
      </c>
      <c r="AF114">
        <v>372</v>
      </c>
      <c r="AG114">
        <f>AF114/AB114</f>
        <v>8.6350974930362118E-2</v>
      </c>
      <c r="AH114">
        <v>4.7638615813775598</v>
      </c>
      <c r="AI114" s="4">
        <v>104850.840634751</v>
      </c>
      <c r="AJ114" s="4">
        <v>372</v>
      </c>
      <c r="AK114" s="4">
        <f>AJ114/AB114</f>
        <v>8.6350974930362118E-2</v>
      </c>
      <c r="AL114">
        <v>104596.023822138</v>
      </c>
      <c r="AM114">
        <f>AL114/F114</f>
        <v>1.3193159914395307</v>
      </c>
      <c r="AN114">
        <v>1.09137020003981</v>
      </c>
      <c r="AO114">
        <v>1</v>
      </c>
      <c r="AP114">
        <f>AO114/10</f>
        <v>0.1</v>
      </c>
      <c r="AQ114">
        <v>104846.076773169</v>
      </c>
      <c r="AR114">
        <f>AQ114/F114</f>
        <v>1.3224700201009147</v>
      </c>
      <c r="AS114">
        <v>123.05787420004999</v>
      </c>
      <c r="AT114">
        <v>85</v>
      </c>
      <c r="AU114">
        <f>AT114/100</f>
        <v>0.85</v>
      </c>
      <c r="AV114">
        <v>104742.290498084</v>
      </c>
      <c r="AW114">
        <f>AV114/F114</f>
        <v>1.3211609178290691</v>
      </c>
      <c r="AX114">
        <v>113.19425439997499</v>
      </c>
      <c r="AY114" t="str">
        <f>IF(AL114=MIN(AL114,AQ114,AV114),"Simulated Annealing",IF(AQ114=MIN(AL114,AQ114,AV114),"Ant Colony Optimization","Genetic Algorithm"))</f>
        <v>Simulated Annealing</v>
      </c>
      <c r="AZ114">
        <f>MIN(AL114,AQ114,AV114)</f>
        <v>104596.023822138</v>
      </c>
      <c r="BA114">
        <f>AZ114/F114</f>
        <v>1.3193159914395307</v>
      </c>
      <c r="BB114">
        <v>108110.938762837</v>
      </c>
      <c r="BC114">
        <f>BB114/F114</f>
        <v>1.3636511709268453</v>
      </c>
      <c r="BD114">
        <v>0.112</v>
      </c>
      <c r="BE114">
        <v>5</v>
      </c>
      <c r="BF114">
        <v>5</v>
      </c>
    </row>
    <row r="115" spans="1:58" x14ac:dyDescent="0.3">
      <c r="A115">
        <v>57</v>
      </c>
      <c r="B115">
        <v>570</v>
      </c>
      <c r="C115">
        <v>4.1628149697142701E-2</v>
      </c>
      <c r="D115">
        <v>9.0757853376005199E-2</v>
      </c>
      <c r="E115">
        <f>SQRT(D115)</f>
        <v>0.30126044110703482</v>
      </c>
      <c r="F115">
        <v>79503.077323814097</v>
      </c>
      <c r="G115">
        <v>19.50531149999</v>
      </c>
      <c r="H115">
        <v>107095.049883377</v>
      </c>
      <c r="I115">
        <f>H115/F115</f>
        <v>1.3470554032415811</v>
      </c>
      <c r="J115">
        <v>2.3741280999965899</v>
      </c>
      <c r="K115">
        <v>2572635.78815162</v>
      </c>
      <c r="L115" t="s">
        <v>44</v>
      </c>
      <c r="M115" t="s">
        <v>37</v>
      </c>
      <c r="N115">
        <v>425</v>
      </c>
      <c r="O115">
        <f>(N115+1)/B115</f>
        <v>0.74736842105263157</v>
      </c>
      <c r="P115">
        <v>115145.622428766</v>
      </c>
      <c r="Q115">
        <f>P115/F115</f>
        <v>1.4483165470410748</v>
      </c>
      <c r="R115">
        <v>19.50531149999</v>
      </c>
      <c r="S115">
        <v>413</v>
      </c>
      <c r="T115">
        <f>(S115+1)/B115</f>
        <v>0.72631578947368425</v>
      </c>
      <c r="U115">
        <v>106141.552598806</v>
      </c>
      <c r="V115">
        <f>U115/F115</f>
        <v>1.3350621909450628</v>
      </c>
      <c r="W115">
        <v>5.6581551000126602</v>
      </c>
      <c r="X115" t="str">
        <f>IF(H115=MIN(H115,P115,U115),"Christofides",IF(P115=MIN(H115,P115,U115),"Arithmetic Series","Nearest Neighbor"))</f>
        <v>Nearest Neighbor</v>
      </c>
      <c r="Y115">
        <f>MIN(H115,P115,U115)</f>
        <v>106141.552598806</v>
      </c>
      <c r="Z115">
        <f>Y115/F115</f>
        <v>1.3350621909450628</v>
      </c>
      <c r="AA115">
        <v>3638</v>
      </c>
      <c r="AB115">
        <v>4308</v>
      </c>
      <c r="AC115">
        <f>AA115/AB115</f>
        <v>0.84447539461467036</v>
      </c>
      <c r="AD115">
        <v>0</v>
      </c>
      <c r="AE115">
        <v>106141.552598806</v>
      </c>
      <c r="AF115">
        <v>395</v>
      </c>
      <c r="AG115">
        <f>AF115/AB115</f>
        <v>9.1689879294336113E-2</v>
      </c>
      <c r="AH115" s="1">
        <v>4.3655745685100497E-11</v>
      </c>
      <c r="AI115" s="4">
        <v>106141.552598806</v>
      </c>
      <c r="AJ115" s="4">
        <v>395</v>
      </c>
      <c r="AK115" s="4">
        <f>AJ115/AB115</f>
        <v>9.1689879294336113E-2</v>
      </c>
      <c r="AL115">
        <v>104223.93215828</v>
      </c>
      <c r="AM115">
        <f>AL115/F115</f>
        <v>1.3109421127660061</v>
      </c>
      <c r="AN115">
        <v>1.0431739999912599</v>
      </c>
      <c r="AO115">
        <v>0</v>
      </c>
      <c r="AP115">
        <f>AO115/10</f>
        <v>0</v>
      </c>
      <c r="AQ115">
        <v>106141.552598806</v>
      </c>
      <c r="AR115">
        <f>AQ115/F115</f>
        <v>1.3350621909450628</v>
      </c>
      <c r="AS115">
        <v>120.908905000018</v>
      </c>
      <c r="AT115">
        <v>93</v>
      </c>
      <c r="AU115">
        <f>AT115/100</f>
        <v>0.93</v>
      </c>
      <c r="AV115">
        <v>105936.352325662</v>
      </c>
      <c r="AW115">
        <f>AV115/F115</f>
        <v>1.3324811553417715</v>
      </c>
      <c r="AX115">
        <v>119.24490759999</v>
      </c>
      <c r="AY115" t="str">
        <f>IF(AL115=MIN(AL115,AQ115,AV115),"Simulated Annealing",IF(AQ115=MIN(AL115,AQ115,AV115),"Ant Colony Optimization","Genetic Algorithm"))</f>
        <v>Simulated Annealing</v>
      </c>
      <c r="AZ115">
        <f>MIN(AL115,AQ115,AV115)</f>
        <v>104223.93215828</v>
      </c>
      <c r="BA115">
        <f>AZ115/F115</f>
        <v>1.3109421127660061</v>
      </c>
      <c r="BB115">
        <v>113167.041170096</v>
      </c>
      <c r="BC115">
        <f>BB115/F115</f>
        <v>1.4234296957986845</v>
      </c>
      <c r="BD115">
        <v>9.6000000000000002E-2</v>
      </c>
      <c r="BE115">
        <v>5</v>
      </c>
      <c r="BF115">
        <v>5.0880000000000001</v>
      </c>
    </row>
    <row r="116" spans="1:58" x14ac:dyDescent="0.3">
      <c r="A116">
        <v>118</v>
      </c>
      <c r="B116">
        <v>575</v>
      </c>
      <c r="C116">
        <v>4.2274131237231498E-2</v>
      </c>
      <c r="D116">
        <v>0.20728631715549201</v>
      </c>
      <c r="E116">
        <f>SQRT(D116)</f>
        <v>0.45528707114906308</v>
      </c>
      <c r="F116">
        <v>79462.498611097995</v>
      </c>
      <c r="G116">
        <v>19.685705099953299</v>
      </c>
      <c r="H116">
        <v>107855.890319566</v>
      </c>
      <c r="I116">
        <f>H116/F116</f>
        <v>1.3573181337706197</v>
      </c>
      <c r="J116">
        <v>2.3247749999864</v>
      </c>
      <c r="K116">
        <v>2622166.94959766</v>
      </c>
      <c r="L116" t="s">
        <v>44</v>
      </c>
      <c r="M116">
        <v>0</v>
      </c>
      <c r="N116">
        <v>241</v>
      </c>
      <c r="O116">
        <f>(N116+1)/B116</f>
        <v>0.42086956521739133</v>
      </c>
      <c r="P116">
        <v>115144.37754113899</v>
      </c>
      <c r="Q116">
        <f>P116/F116</f>
        <v>1.4490404851812393</v>
      </c>
      <c r="R116">
        <v>19.685705099953299</v>
      </c>
      <c r="S116">
        <v>442</v>
      </c>
      <c r="T116">
        <f>(S116+1)/B116</f>
        <v>0.77043478260869569</v>
      </c>
      <c r="U116">
        <v>105025.242688991</v>
      </c>
      <c r="V116">
        <f>U116/F116</f>
        <v>1.3216956995399944</v>
      </c>
      <c r="W116">
        <v>6.0527184000238696</v>
      </c>
      <c r="X116" t="str">
        <f>IF(H116=MIN(H116,P116,U116),"Christofides",IF(P116=MIN(H116,P116,U116),"Arithmetic Series","Nearest Neighbor"))</f>
        <v>Nearest Neighbor</v>
      </c>
      <c r="Y116">
        <f>MIN(H116,P116,U116)</f>
        <v>105025.242688991</v>
      </c>
      <c r="Z116">
        <f>Y116/F116</f>
        <v>1.3216956995399944</v>
      </c>
      <c r="AA116">
        <v>3758</v>
      </c>
      <c r="AB116">
        <v>4309</v>
      </c>
      <c r="AC116">
        <f>AA116/AB116</f>
        <v>0.87212810396843821</v>
      </c>
      <c r="AD116">
        <v>0</v>
      </c>
      <c r="AE116">
        <v>104776.345557824</v>
      </c>
      <c r="AF116">
        <v>1270</v>
      </c>
      <c r="AG116">
        <f>AF116/AB116</f>
        <v>0.29473195637038757</v>
      </c>
      <c r="AH116" s="1">
        <v>4.3655745685100497E-11</v>
      </c>
      <c r="AI116" s="4">
        <v>104134.78503539599</v>
      </c>
      <c r="AJ116" s="4">
        <v>2021</v>
      </c>
      <c r="AK116" s="4">
        <f>AJ116/AB116</f>
        <v>0.46901833372012069</v>
      </c>
      <c r="AL116">
        <v>104038.498850848</v>
      </c>
      <c r="AM116">
        <f>AL116/F116</f>
        <v>1.3092779697254278</v>
      </c>
      <c r="AN116">
        <v>1.1302997000748201</v>
      </c>
      <c r="AO116">
        <v>0</v>
      </c>
      <c r="AP116">
        <f>AO116/10</f>
        <v>0</v>
      </c>
      <c r="AQ116">
        <v>105025.242688991</v>
      </c>
      <c r="AR116">
        <f>AQ116/F116</f>
        <v>1.3216956995399944</v>
      </c>
      <c r="AS116">
        <v>130.24751250003399</v>
      </c>
      <c r="AT116">
        <v>29</v>
      </c>
      <c r="AU116">
        <f>AT116/100</f>
        <v>0.28999999999999998</v>
      </c>
      <c r="AV116">
        <v>104963.924299598</v>
      </c>
      <c r="AW116">
        <f>AV116/F116</f>
        <v>1.3209240350383142</v>
      </c>
      <c r="AX116">
        <v>124.49787999992201</v>
      </c>
      <c r="AY116" t="str">
        <f>IF(AL116=MIN(AL116,AQ116,AV116),"Simulated Annealing",IF(AQ116=MIN(AL116,AQ116,AV116),"Ant Colony Optimization","Genetic Algorithm"))</f>
        <v>Simulated Annealing</v>
      </c>
      <c r="AZ116">
        <f>MIN(AL116,AQ116,AV116)</f>
        <v>104038.498850848</v>
      </c>
      <c r="BA116">
        <f>AZ116/F116</f>
        <v>1.3092779697254278</v>
      </c>
      <c r="BB116">
        <v>109831.80479508601</v>
      </c>
      <c r="BC116">
        <f>BB116/F116</f>
        <v>1.3821841335825618</v>
      </c>
      <c r="BD116">
        <v>0.112</v>
      </c>
      <c r="BE116">
        <v>5</v>
      </c>
      <c r="BF116">
        <v>5</v>
      </c>
    </row>
    <row r="117" spans="1:58" x14ac:dyDescent="0.3">
      <c r="A117">
        <v>58</v>
      </c>
      <c r="B117">
        <v>580</v>
      </c>
      <c r="C117">
        <v>4.0238705760573597E-2</v>
      </c>
      <c r="D117">
        <v>8.5911772400331196E-2</v>
      </c>
      <c r="E117">
        <f>SQRT(D117)</f>
        <v>0.29310710056279976</v>
      </c>
      <c r="F117">
        <v>80771.020030346204</v>
      </c>
      <c r="G117">
        <v>20.543872200010799</v>
      </c>
      <c r="H117">
        <v>108730.70553160099</v>
      </c>
      <c r="I117">
        <f>H117/F117</f>
        <v>1.3461598663821523</v>
      </c>
      <c r="J117">
        <v>2.4658431999851</v>
      </c>
      <c r="K117">
        <v>2672208.1835715901</v>
      </c>
      <c r="L117" t="s">
        <v>44</v>
      </c>
      <c r="M117">
        <v>1</v>
      </c>
      <c r="N117">
        <v>386</v>
      </c>
      <c r="O117">
        <f>(N117+1)/B117</f>
        <v>0.66724137931034477</v>
      </c>
      <c r="P117">
        <v>117407.00633921201</v>
      </c>
      <c r="Q117">
        <f>P117/F117</f>
        <v>1.4535783539083873</v>
      </c>
      <c r="R117">
        <v>20.543872200010799</v>
      </c>
      <c r="S117">
        <v>328</v>
      </c>
      <c r="T117">
        <f>(S117+1)/B117</f>
        <v>0.5672413793103448</v>
      </c>
      <c r="U117">
        <v>109817.10230765</v>
      </c>
      <c r="V117">
        <f>U117/F117</f>
        <v>1.3596101951713744</v>
      </c>
      <c r="W117">
        <v>6.2013346999883598</v>
      </c>
      <c r="X117" t="str">
        <f>IF(H117=MIN(H117,P117,U117),"Christofides",IF(P117=MIN(H117,P117,U117),"Arithmetic Series","Nearest Neighbor"))</f>
        <v>Christofides</v>
      </c>
      <c r="Y117">
        <f>MIN(H117,P117,U117)</f>
        <v>108730.70553160099</v>
      </c>
      <c r="Z117">
        <f>Y117/F117</f>
        <v>1.3461598663821523</v>
      </c>
      <c r="AA117">
        <v>2270</v>
      </c>
      <c r="AB117">
        <v>4310</v>
      </c>
      <c r="AC117">
        <f>AA117/AB117</f>
        <v>0.52668213457076563</v>
      </c>
      <c r="AD117">
        <v>0</v>
      </c>
      <c r="AE117">
        <v>108443.48659750199</v>
      </c>
      <c r="AF117">
        <v>297</v>
      </c>
      <c r="AG117">
        <f>AF117/AB117</f>
        <v>6.8909512761020877E-2</v>
      </c>
      <c r="AH117" s="1">
        <v>1.45519152283668E-11</v>
      </c>
      <c r="AI117" s="4">
        <v>108443.48659750199</v>
      </c>
      <c r="AJ117" s="4">
        <v>297</v>
      </c>
      <c r="AK117" s="4">
        <f>AJ117/AB117</f>
        <v>6.8909512761020877E-2</v>
      </c>
      <c r="AL117">
        <v>108376.610468147</v>
      </c>
      <c r="AM117">
        <f>AL117/F117</f>
        <v>1.3417759293794878</v>
      </c>
      <c r="AN117">
        <v>1.12214950000634</v>
      </c>
      <c r="AO117">
        <v>3</v>
      </c>
      <c r="AP117">
        <f>AO117/10</f>
        <v>0.3</v>
      </c>
      <c r="AQ117">
        <v>108561.0776027</v>
      </c>
      <c r="AR117">
        <f>AQ117/F117</f>
        <v>1.3440597575951485</v>
      </c>
      <c r="AS117">
        <v>127.34590260003399</v>
      </c>
      <c r="AT117">
        <v>86</v>
      </c>
      <c r="AU117">
        <f>AT117/100</f>
        <v>0.86</v>
      </c>
      <c r="AV117">
        <v>108598.23277658199</v>
      </c>
      <c r="AW117">
        <f>AV117/F117</f>
        <v>1.3445197638432809</v>
      </c>
      <c r="AX117">
        <v>133.10436540003801</v>
      </c>
      <c r="AY117" t="str">
        <f>IF(AL117=MIN(AL117,AQ117,AV117),"Simulated Annealing",IF(AQ117=MIN(AL117,AQ117,AV117),"Ant Colony Optimization","Genetic Algorithm"))</f>
        <v>Simulated Annealing</v>
      </c>
      <c r="AZ117">
        <f>MIN(AL117,AQ117,AV117)</f>
        <v>108376.610468147</v>
      </c>
      <c r="BA117">
        <f>AZ117/F117</f>
        <v>1.3417759293794878</v>
      </c>
      <c r="BB117">
        <v>117254.13438487401</v>
      </c>
      <c r="BC117">
        <f>BB117/F117</f>
        <v>1.4516856954489477</v>
      </c>
      <c r="BD117">
        <v>0.112</v>
      </c>
      <c r="BE117">
        <v>5</v>
      </c>
      <c r="BF117">
        <v>5</v>
      </c>
    </row>
    <row r="118" spans="1:58" x14ac:dyDescent="0.3">
      <c r="A118">
        <v>119</v>
      </c>
      <c r="B118">
        <v>585</v>
      </c>
      <c r="C118">
        <v>3.97929238024596E-2</v>
      </c>
      <c r="D118">
        <v>0.123079876474104</v>
      </c>
      <c r="E118">
        <f>SQRT(D118)</f>
        <v>0.3508274169361682</v>
      </c>
      <c r="F118">
        <v>80801.993884538999</v>
      </c>
      <c r="G118">
        <v>21.738014900009102</v>
      </c>
      <c r="H118">
        <v>108885.310192177</v>
      </c>
      <c r="I118">
        <f>H118/F118</f>
        <v>1.3475572192904954</v>
      </c>
      <c r="J118">
        <v>2.4684263999806699</v>
      </c>
      <c r="K118">
        <v>2722755.0478440002</v>
      </c>
      <c r="L118" t="s">
        <v>44</v>
      </c>
      <c r="M118">
        <v>1</v>
      </c>
      <c r="N118">
        <v>507</v>
      </c>
      <c r="O118">
        <f>(N118+1)/B118</f>
        <v>0.8683760683760684</v>
      </c>
      <c r="P118">
        <v>114530.90333567699</v>
      </c>
      <c r="Q118">
        <f>P118/F118</f>
        <v>1.4174266974071765</v>
      </c>
      <c r="R118">
        <v>21.738014900009102</v>
      </c>
      <c r="S118">
        <v>272</v>
      </c>
      <c r="T118">
        <f>(S118+1)/B118</f>
        <v>0.46666666666666667</v>
      </c>
      <c r="U118">
        <v>110594.68939371</v>
      </c>
      <c r="V118">
        <f>U118/F118</f>
        <v>1.3687123804363404</v>
      </c>
      <c r="W118">
        <v>6.1710846000351003</v>
      </c>
      <c r="X118" t="str">
        <f>IF(H118=MIN(H118,P118,U118),"Christofides",IF(P118=MIN(H118,P118,U118),"Arithmetic Series","Nearest Neighbor"))</f>
        <v>Christofides</v>
      </c>
      <c r="Y118">
        <f>MIN(H118,P118,U118)</f>
        <v>108885.310192177</v>
      </c>
      <c r="Z118">
        <f>Y118/F118</f>
        <v>1.3475572192904954</v>
      </c>
      <c r="AA118">
        <v>3884</v>
      </c>
      <c r="AB118">
        <v>4311</v>
      </c>
      <c r="AC118">
        <f>AA118/AB118</f>
        <v>0.90095105543957321</v>
      </c>
      <c r="AD118">
        <v>0</v>
      </c>
      <c r="AE118">
        <v>108885.310192177</v>
      </c>
      <c r="AF118">
        <v>145</v>
      </c>
      <c r="AG118">
        <f>AF118/AB118</f>
        <v>3.3634887497100439E-2</v>
      </c>
      <c r="AH118" s="1">
        <v>7.2759576141834194E-11</v>
      </c>
      <c r="AI118" s="4">
        <v>108177.455687297</v>
      </c>
      <c r="AJ118" s="4">
        <v>4143</v>
      </c>
      <c r="AK118" s="4">
        <f>AJ118/AB118</f>
        <v>0.9610299234516354</v>
      </c>
      <c r="AL118">
        <v>108177.455687297</v>
      </c>
      <c r="AM118">
        <f>AL118/F118</f>
        <v>1.3387968599125886</v>
      </c>
      <c r="AN118">
        <v>1.14643660001456</v>
      </c>
      <c r="AO118">
        <v>0</v>
      </c>
      <c r="AP118">
        <f>AO118/10</f>
        <v>0</v>
      </c>
      <c r="AQ118">
        <v>108885.310192177</v>
      </c>
      <c r="AR118">
        <f>AQ118/F118</f>
        <v>1.3475572192904954</v>
      </c>
      <c r="AS118">
        <v>134.67229919997001</v>
      </c>
      <c r="AT118">
        <v>38</v>
      </c>
      <c r="AU118">
        <f>AT118/100</f>
        <v>0.38</v>
      </c>
      <c r="AV118">
        <v>108818.761784717</v>
      </c>
      <c r="AW118">
        <f>AV118/F118</f>
        <v>1.346733620710056</v>
      </c>
      <c r="AX118">
        <v>131.55119230004399</v>
      </c>
      <c r="AY118" t="str">
        <f>IF(AL118=MIN(AL118,AQ118,AV118),"Simulated Annealing",IF(AQ118=MIN(AL118,AQ118,AV118),"Ant Colony Optimization","Genetic Algorithm"))</f>
        <v>Simulated Annealing</v>
      </c>
      <c r="AZ118">
        <f>MIN(AL118,AQ118,AV118)</f>
        <v>108177.455687297</v>
      </c>
      <c r="BA118">
        <f>AZ118/F118</f>
        <v>1.3387968599125886</v>
      </c>
      <c r="BB118">
        <v>112809.690730667</v>
      </c>
      <c r="BC118">
        <f>BB118/F118</f>
        <v>1.3961250868619035</v>
      </c>
      <c r="BD118">
        <v>0.112</v>
      </c>
      <c r="BE118">
        <v>5</v>
      </c>
      <c r="BF118">
        <v>5.0259999999999998</v>
      </c>
    </row>
    <row r="119" spans="1:58" x14ac:dyDescent="0.3">
      <c r="A119">
        <v>59</v>
      </c>
      <c r="B119">
        <v>590</v>
      </c>
      <c r="C119">
        <v>3.8790904518529998E-2</v>
      </c>
      <c r="D119">
        <v>9.2751714315027406E-2</v>
      </c>
      <c r="E119">
        <f>SQRT(D119)</f>
        <v>0.30455166115952709</v>
      </c>
      <c r="F119">
        <v>80637.463825962797</v>
      </c>
      <c r="G119">
        <v>21.1381485999445</v>
      </c>
      <c r="H119">
        <v>108750.541579228</v>
      </c>
      <c r="I119">
        <f>H119/F119</f>
        <v>1.3486354408906105</v>
      </c>
      <c r="J119">
        <v>2.5067926999763501</v>
      </c>
      <c r="K119">
        <v>2773805.1107647899</v>
      </c>
      <c r="L119" t="s">
        <v>44</v>
      </c>
      <c r="M119">
        <v>1</v>
      </c>
      <c r="N119">
        <v>384</v>
      </c>
      <c r="O119">
        <f>(N119+1)/B119</f>
        <v>0.65254237288135597</v>
      </c>
      <c r="P119">
        <v>115808.56768500101</v>
      </c>
      <c r="Q119">
        <f>P119/F119</f>
        <v>1.4361633190119527</v>
      </c>
      <c r="R119">
        <v>21.1381485999445</v>
      </c>
      <c r="S119">
        <v>228</v>
      </c>
      <c r="T119">
        <f>(S119+1)/B119</f>
        <v>0.38813559322033897</v>
      </c>
      <c r="U119">
        <v>109282.068282277</v>
      </c>
      <c r="V119">
        <f>U119/F119</f>
        <v>1.3552270011633416</v>
      </c>
      <c r="W119">
        <v>6.4218677000026201</v>
      </c>
      <c r="X119" t="str">
        <f>IF(H119=MIN(H119,P119,U119),"Christofides",IF(P119=MIN(H119,P119,U119),"Arithmetic Series","Nearest Neighbor"))</f>
        <v>Christofides</v>
      </c>
      <c r="Y119">
        <f>MIN(H119,P119,U119)</f>
        <v>108750.541579228</v>
      </c>
      <c r="Z119">
        <f>Y119/F119</f>
        <v>1.3486354408906105</v>
      </c>
      <c r="AA119">
        <v>3909</v>
      </c>
      <c r="AB119">
        <v>4312</v>
      </c>
      <c r="AC119">
        <f>AA119/AB119</f>
        <v>0.90653988868274582</v>
      </c>
      <c r="AD119">
        <v>0</v>
      </c>
      <c r="AE119">
        <v>108368.244554281</v>
      </c>
      <c r="AF119">
        <v>731</v>
      </c>
      <c r="AG119">
        <f>AF119/AB119</f>
        <v>0.16952690166975881</v>
      </c>
      <c r="AH119" s="1">
        <v>8.7311491370201098E-11</v>
      </c>
      <c r="AI119" s="4">
        <v>107706.62400465801</v>
      </c>
      <c r="AJ119" s="4">
        <v>3633</v>
      </c>
      <c r="AK119" s="4">
        <f>AJ119/AB119</f>
        <v>0.84253246753246758</v>
      </c>
      <c r="AL119">
        <v>107694.548155215</v>
      </c>
      <c r="AM119">
        <f>AL119/F119</f>
        <v>1.3355398724797276</v>
      </c>
      <c r="AN119">
        <v>1.1327765000169101</v>
      </c>
      <c r="AO119">
        <v>0</v>
      </c>
      <c r="AP119">
        <f>AO119/10</f>
        <v>0</v>
      </c>
      <c r="AQ119">
        <v>108750.541579228</v>
      </c>
      <c r="AR119">
        <f>AQ119/F119</f>
        <v>1.3486354408906105</v>
      </c>
      <c r="AS119">
        <v>132.07606019999301</v>
      </c>
      <c r="AT119">
        <v>79</v>
      </c>
      <c r="AU119">
        <f>AT119/100</f>
        <v>0.79</v>
      </c>
      <c r="AV119">
        <v>108564.32832053</v>
      </c>
      <c r="AW119">
        <f>AV119/F119</f>
        <v>1.3463261760667578</v>
      </c>
      <c r="AX119">
        <v>128.23123670002599</v>
      </c>
      <c r="AY119" t="str">
        <f>IF(AL119=MIN(AL119,AQ119,AV119),"Simulated Annealing",IF(AQ119=MIN(AL119,AQ119,AV119),"Ant Colony Optimization","Genetic Algorithm"))</f>
        <v>Simulated Annealing</v>
      </c>
      <c r="AZ119">
        <f>MIN(AL119,AQ119,AV119)</f>
        <v>107694.548155215</v>
      </c>
      <c r="BA119">
        <f>AZ119/F119</f>
        <v>1.3355398724797276</v>
      </c>
      <c r="BB119">
        <v>112291.34875247101</v>
      </c>
      <c r="BC119">
        <f>BB119/F119</f>
        <v>1.3925456410041088</v>
      </c>
      <c r="BD119">
        <v>0.112</v>
      </c>
      <c r="BE119">
        <v>5</v>
      </c>
      <c r="BF119">
        <v>5</v>
      </c>
    </row>
    <row r="120" spans="1:58" x14ac:dyDescent="0.3">
      <c r="A120">
        <v>120</v>
      </c>
      <c r="B120">
        <v>595</v>
      </c>
      <c r="C120">
        <v>3.8890478344226501E-2</v>
      </c>
      <c r="D120">
        <v>7.8048311292379796E-2</v>
      </c>
      <c r="E120">
        <f>SQRT(D120)</f>
        <v>0.27937127857455174</v>
      </c>
      <c r="F120">
        <v>81450.343413336799</v>
      </c>
      <c r="G120">
        <v>21.976588799967399</v>
      </c>
      <c r="H120">
        <v>106465.77552749</v>
      </c>
      <c r="I120">
        <f>H120/F120</f>
        <v>1.307124943442008</v>
      </c>
      <c r="J120">
        <v>2.58630429999902</v>
      </c>
      <c r="K120">
        <v>2825367.2016285001</v>
      </c>
      <c r="L120" t="s">
        <v>44</v>
      </c>
      <c r="M120">
        <v>0</v>
      </c>
      <c r="N120">
        <v>452</v>
      </c>
      <c r="O120">
        <f>(N120+1)/B120</f>
        <v>0.76134453781512601</v>
      </c>
      <c r="P120">
        <v>114545.734520675</v>
      </c>
      <c r="Q120">
        <f>P120/F120</f>
        <v>1.406325986121246</v>
      </c>
      <c r="R120">
        <v>21.976588799967399</v>
      </c>
      <c r="S120">
        <v>486</v>
      </c>
      <c r="T120">
        <f>(S120+1)/B120</f>
        <v>0.81848739495798317</v>
      </c>
      <c r="U120">
        <v>107734.14207589001</v>
      </c>
      <c r="V120">
        <f>U120/F120</f>
        <v>1.3226972110991673</v>
      </c>
      <c r="W120">
        <v>6.7281044999836004</v>
      </c>
      <c r="X120" t="str">
        <f>IF(H120=MIN(H120,P120,U120),"Christofides",IF(P120=MIN(H120,P120,U120),"Arithmetic Series","Nearest Neighbor"))</f>
        <v>Christofides</v>
      </c>
      <c r="Y120">
        <f>MIN(H120,P120,U120)</f>
        <v>106465.77552749</v>
      </c>
      <c r="Z120">
        <f>Y120/F120</f>
        <v>1.307124943442008</v>
      </c>
      <c r="AA120">
        <v>3875</v>
      </c>
      <c r="AB120">
        <v>4313</v>
      </c>
      <c r="AC120">
        <f>AA120/AB120</f>
        <v>0.89844655692093667</v>
      </c>
      <c r="AD120">
        <v>0</v>
      </c>
      <c r="AE120">
        <v>106318.003705069</v>
      </c>
      <c r="AF120">
        <v>1539</v>
      </c>
      <c r="AG120">
        <f>AF120/AB120</f>
        <v>0.35682819383259912</v>
      </c>
      <c r="AH120" s="1">
        <v>1.3096723705530099E-10</v>
      </c>
      <c r="AI120" s="4">
        <v>106229.79877799199</v>
      </c>
      <c r="AJ120" s="4">
        <v>2960</v>
      </c>
      <c r="AK120" s="4">
        <f>AJ120/AB120</f>
        <v>0.68629724089960586</v>
      </c>
      <c r="AL120">
        <v>106117.91385455101</v>
      </c>
      <c r="AM120">
        <f>AL120/F120</f>
        <v>1.302854099902728</v>
      </c>
      <c r="AN120">
        <v>1.10126609995495</v>
      </c>
      <c r="AO120">
        <v>1</v>
      </c>
      <c r="AP120">
        <f>AO120/10</f>
        <v>0.1</v>
      </c>
      <c r="AQ120">
        <v>106465.77552749</v>
      </c>
      <c r="AR120">
        <f>AQ120/F120</f>
        <v>1.307124943442008</v>
      </c>
      <c r="AS120">
        <v>142.42662769998401</v>
      </c>
      <c r="AT120">
        <v>54</v>
      </c>
      <c r="AU120">
        <f>AT120/100</f>
        <v>0.54</v>
      </c>
      <c r="AV120">
        <v>106135.03544948201</v>
      </c>
      <c r="AW120">
        <f>AV120/F120</f>
        <v>1.3030643088989518</v>
      </c>
      <c r="AX120">
        <v>135.505984899937</v>
      </c>
      <c r="AY120" t="str">
        <f>IF(AL120=MIN(AL120,AQ120,AV120),"Simulated Annealing",IF(AQ120=MIN(AL120,AQ120,AV120),"Ant Colony Optimization","Genetic Algorithm"))</f>
        <v>Simulated Annealing</v>
      </c>
      <c r="AZ120">
        <f>MIN(AL120,AQ120,AV120)</f>
        <v>106117.91385455101</v>
      </c>
      <c r="BA120">
        <f>AZ120/F120</f>
        <v>1.302854099902728</v>
      </c>
      <c r="BB120">
        <v>116139.655305459</v>
      </c>
      <c r="BC120">
        <f>BB120/F120</f>
        <v>1.4258952195705799</v>
      </c>
      <c r="BD120">
        <v>6.4000000000000001E-2</v>
      </c>
      <c r="BE120">
        <v>5</v>
      </c>
      <c r="BF120">
        <v>5</v>
      </c>
    </row>
    <row r="121" spans="1:58" x14ac:dyDescent="0.3">
      <c r="A121">
        <v>60</v>
      </c>
      <c r="B121">
        <v>600</v>
      </c>
      <c r="C121">
        <v>3.7023628935417698E-2</v>
      </c>
      <c r="D121">
        <v>7.2148699523146106E-2</v>
      </c>
      <c r="E121">
        <f>SQRT(D121)</f>
        <v>0.26860509958514583</v>
      </c>
      <c r="F121">
        <v>81078.527808206505</v>
      </c>
      <c r="G121">
        <v>22.679103900038101</v>
      </c>
      <c r="H121">
        <v>107739.78678599</v>
      </c>
      <c r="I121">
        <f>H121/F121</f>
        <v>1.3288325491164743</v>
      </c>
      <c r="J121">
        <v>2.6513851000345299</v>
      </c>
      <c r="K121">
        <v>2877435.6217206302</v>
      </c>
      <c r="L121" t="s">
        <v>44</v>
      </c>
      <c r="M121">
        <v>0</v>
      </c>
      <c r="N121">
        <v>486</v>
      </c>
      <c r="O121">
        <f>(N121+1)/B121</f>
        <v>0.81166666666666665</v>
      </c>
      <c r="P121">
        <v>114387.418682246</v>
      </c>
      <c r="Q121">
        <f>P121/F121</f>
        <v>1.410822591066683</v>
      </c>
      <c r="R121">
        <v>22.679103900038101</v>
      </c>
      <c r="S121">
        <v>278</v>
      </c>
      <c r="T121">
        <f>(S121+1)/B121</f>
        <v>0.46500000000000002</v>
      </c>
      <c r="U121">
        <v>109536.350821222</v>
      </c>
      <c r="V121">
        <f>U121/F121</f>
        <v>1.3509908699912911</v>
      </c>
      <c r="W121">
        <v>6.9829665000433998</v>
      </c>
      <c r="X121" t="str">
        <f>IF(H121=MIN(H121,P121,U121),"Christofides",IF(P121=MIN(H121,P121,U121),"Arithmetic Series","Nearest Neighbor"))</f>
        <v>Christofides</v>
      </c>
      <c r="Y121">
        <f>MIN(H121,P121,U121)</f>
        <v>107739.78678599</v>
      </c>
      <c r="Z121">
        <f>Y121/F121</f>
        <v>1.3288325491164743</v>
      </c>
      <c r="AA121">
        <v>3362</v>
      </c>
      <c r="AB121">
        <v>4314</v>
      </c>
      <c r="AC121">
        <f>AA121/AB121</f>
        <v>0.77932313398238295</v>
      </c>
      <c r="AD121">
        <v>0</v>
      </c>
      <c r="AE121">
        <v>107623.78538359801</v>
      </c>
      <c r="AF121">
        <v>765</v>
      </c>
      <c r="AG121">
        <f>AF121/AB121</f>
        <v>0.17732962447844228</v>
      </c>
      <c r="AH121" s="1">
        <v>5.8207660913467401E-11</v>
      </c>
      <c r="AI121" s="4">
        <v>107545.92401645699</v>
      </c>
      <c r="AJ121" s="4">
        <v>1146</v>
      </c>
      <c r="AK121" s="4">
        <f>AJ121/AB121</f>
        <v>0.26564673157162727</v>
      </c>
      <c r="AL121">
        <v>107382.708098884</v>
      </c>
      <c r="AM121">
        <f>AL121/F121</f>
        <v>1.32442843995516</v>
      </c>
      <c r="AN121">
        <v>1.1619958000374</v>
      </c>
      <c r="AO121">
        <v>1</v>
      </c>
      <c r="AP121">
        <f>AO121/10</f>
        <v>0.1</v>
      </c>
      <c r="AQ121">
        <v>107739.78678599</v>
      </c>
      <c r="AR121">
        <f>AQ121/F121</f>
        <v>1.3288325491164743</v>
      </c>
      <c r="AS121">
        <v>139.30666699999699</v>
      </c>
      <c r="AT121">
        <v>98</v>
      </c>
      <c r="AU121">
        <f>AT121/100</f>
        <v>0.98</v>
      </c>
      <c r="AV121">
        <v>107624.502965148</v>
      </c>
      <c r="AW121">
        <f>AV121/F121</f>
        <v>1.3274106705506139</v>
      </c>
      <c r="AX121">
        <v>137.492129200021</v>
      </c>
      <c r="AY121" t="str">
        <f>IF(AL121=MIN(AL121,AQ121,AV121),"Simulated Annealing",IF(AQ121=MIN(AL121,AQ121,AV121),"Ant Colony Optimization","Genetic Algorithm"))</f>
        <v>Simulated Annealing</v>
      </c>
      <c r="AZ121">
        <f>MIN(AL121,AQ121,AV121)</f>
        <v>107382.708098884</v>
      </c>
      <c r="BA121">
        <f>AZ121/F121</f>
        <v>1.32442843995516</v>
      </c>
      <c r="BB121">
        <v>119834.570090578</v>
      </c>
      <c r="BC121">
        <f>BB121/F121</f>
        <v>1.4780062407404582</v>
      </c>
      <c r="BD121">
        <v>0.112</v>
      </c>
      <c r="BE121">
        <v>5</v>
      </c>
      <c r="BF121">
        <v>5.0579999999999998</v>
      </c>
    </row>
    <row r="125" spans="1:58" x14ac:dyDescent="0.3">
      <c r="D125" s="2" t="s">
        <v>45</v>
      </c>
      <c r="E125" s="2" t="s">
        <v>47</v>
      </c>
      <c r="M125" s="2" t="s">
        <v>38</v>
      </c>
      <c r="N125" s="2"/>
      <c r="O125" s="3"/>
      <c r="S125" s="3"/>
      <c r="T125" s="3"/>
      <c r="X125" s="2" t="s">
        <v>30</v>
      </c>
      <c r="Y125" s="2"/>
      <c r="Z125" s="2"/>
      <c r="AA125" s="2"/>
      <c r="AB125" s="2"/>
      <c r="AC125" s="2" t="s">
        <v>73</v>
      </c>
      <c r="AD125" s="2"/>
      <c r="AE125" s="2"/>
      <c r="AF125" s="2"/>
      <c r="AG125" s="2" t="s">
        <v>75</v>
      </c>
      <c r="AH125" s="2" t="s">
        <v>79</v>
      </c>
      <c r="AI125" s="2"/>
      <c r="AJ125" s="2"/>
      <c r="AK125" s="2" t="s">
        <v>77</v>
      </c>
      <c r="AP125" s="2" t="s">
        <v>81</v>
      </c>
      <c r="AU125" s="2" t="s">
        <v>83</v>
      </c>
      <c r="AY125" s="2" t="s">
        <v>31</v>
      </c>
    </row>
    <row r="126" spans="1:58" x14ac:dyDescent="0.3">
      <c r="D126">
        <f>CORREL(D2:D121,P2:P121)</f>
        <v>-0.25781494150667095</v>
      </c>
      <c r="E126">
        <f>CORREL(E2:E121,P2:P121)</f>
        <v>-0.3863926344455923</v>
      </c>
      <c r="M126">
        <f>COUNTIF(M2:M121,"=0")</f>
        <v>69</v>
      </c>
      <c r="O126" s="3"/>
      <c r="X126">
        <f>COUNTIF(X2:X121,"=Christofides")</f>
        <v>58</v>
      </c>
      <c r="AC126">
        <f>CORREL(AC2:AC121,AL2:AL121)</f>
        <v>0.24036557667891009</v>
      </c>
      <c r="AG126">
        <f>CORREL(AG2:AG121,AL2:AL121)</f>
        <v>0.40787613968668068</v>
      </c>
      <c r="AH126">
        <f>CORREL(AH2:AH121,AL2:AL121)</f>
        <v>0.11694732386930368</v>
      </c>
      <c r="AK126">
        <f>CORREL(AK2:AK121,AL2:AL121)</f>
        <v>0.10593913185246892</v>
      </c>
      <c r="AP126">
        <f>CORREL(AP2:AP121,AQ2:AQ121)</f>
        <v>-0.29085324302121185</v>
      </c>
      <c r="AU126">
        <f>CORREL(AU2:AU121,AV2:AV121)</f>
        <v>0.30613384336839167</v>
      </c>
      <c r="AY126">
        <f>COUNTIF(AY2:AY121,"=Simulated Annealing")</f>
        <v>90</v>
      </c>
    </row>
    <row r="127" spans="1:58" x14ac:dyDescent="0.3">
      <c r="D127" s="2" t="s">
        <v>46</v>
      </c>
      <c r="E127" s="2" t="s">
        <v>48</v>
      </c>
      <c r="M127" s="2" t="s">
        <v>39</v>
      </c>
      <c r="N127" s="2"/>
      <c r="O127" s="3"/>
      <c r="T127" s="3"/>
      <c r="X127" s="2" t="s">
        <v>32</v>
      </c>
      <c r="Y127" s="2"/>
      <c r="Z127" s="2"/>
      <c r="AA127" s="2"/>
      <c r="AB127" s="2"/>
      <c r="AC127" s="2" t="s">
        <v>74</v>
      </c>
      <c r="AD127" s="2"/>
      <c r="AE127" s="2"/>
      <c r="AF127" s="2"/>
      <c r="AG127" s="2" t="s">
        <v>76</v>
      </c>
      <c r="AH127" s="2" t="s">
        <v>80</v>
      </c>
      <c r="AI127" s="2"/>
      <c r="AJ127" s="2"/>
      <c r="AK127" s="2" t="s">
        <v>78</v>
      </c>
      <c r="AP127" s="2" t="s">
        <v>82</v>
      </c>
      <c r="AU127" s="2" t="s">
        <v>84</v>
      </c>
      <c r="AY127" s="2" t="s">
        <v>33</v>
      </c>
    </row>
    <row r="128" spans="1:58" x14ac:dyDescent="0.3">
      <c r="D128">
        <f>CORREL(D2:D121,Q2:Q121)</f>
        <v>-0.49126007243085784</v>
      </c>
      <c r="E128">
        <f>CORREL(E2:E121,Q2:Q121)</f>
        <v>-0.547087949314635</v>
      </c>
      <c r="M128">
        <f>COUNTIF(M2:M121,"=1")</f>
        <v>25</v>
      </c>
      <c r="O128" s="3"/>
      <c r="X128">
        <f>COUNTIF(X2:X121,"=Arithmetic Series")</f>
        <v>1</v>
      </c>
      <c r="AC128">
        <f>CORREL(AC2:AC121,AM2:AM121)</f>
        <v>0.3138474597910737</v>
      </c>
      <c r="AG128">
        <f>CORREL(AG2:AG121,AM2:AM121)</f>
        <v>0.36439367246855536</v>
      </c>
      <c r="AH128">
        <f>CORREL(AH2:AH121,AM2:AM121)</f>
        <v>9.1755675474540971E-2</v>
      </c>
      <c r="AK128">
        <f>CORREL(AK2:AK121,AM2:AM121)</f>
        <v>0.12458811913093507</v>
      </c>
      <c r="AP128">
        <f>CORREL(AP2:AP121,AR2:AR121)</f>
        <v>-0.31653184196954898</v>
      </c>
      <c r="AU128">
        <f>CORREL(AU2:AU121,AW2:AW121)</f>
        <v>0.24127866284707503</v>
      </c>
      <c r="AY128">
        <f>COUNTIF(AY2:AY121,"=Ant Colony Optimization")</f>
        <v>20</v>
      </c>
    </row>
    <row r="129" spans="13:51" x14ac:dyDescent="0.3">
      <c r="M129" s="2" t="s">
        <v>40</v>
      </c>
      <c r="N129" s="2"/>
      <c r="O129" s="2"/>
      <c r="X129" s="2" t="s">
        <v>34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Y129" s="2" t="s">
        <v>35</v>
      </c>
    </row>
    <row r="130" spans="13:51" x14ac:dyDescent="0.3">
      <c r="M130">
        <f>COUNTIF(M2:M121,"=(n - 2)! - 1")</f>
        <v>25</v>
      </c>
      <c r="X130">
        <f>COUNTIF(X2:X121,"=Nearest Neighbor")</f>
        <v>61</v>
      </c>
      <c r="AY130">
        <f>COUNTIF(AY2:AY121,"=Genetic Algorithm")</f>
        <v>10</v>
      </c>
    </row>
  </sheetData>
  <sortState xmlns:xlrd2="http://schemas.microsoft.com/office/spreadsheetml/2017/richdata2" ref="A2:BF121">
    <sortCondition ref="B2:B1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ByExperimentNumber</vt:lpstr>
      <vt:lpstr>ByNumberOfVertices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Jedidiah Ramos</dc:creator>
  <cp:lastModifiedBy>Jedidiah Ramos</cp:lastModifiedBy>
  <dcterms:created xsi:type="dcterms:W3CDTF">2015-06-05T18:17:20Z</dcterms:created>
  <dcterms:modified xsi:type="dcterms:W3CDTF">2025-11-25T20:38:16Z</dcterms:modified>
</cp:coreProperties>
</file>